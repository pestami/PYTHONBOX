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DieseArbeitsmappe"/>
  <xr:revisionPtr revIDLastSave="0" documentId="13_ncr:1_{FA7E8303-551D-4A84-AF87-177706DC8950}" xr6:coauthVersionLast="46" xr6:coauthVersionMax="46" xr10:uidLastSave="{00000000-0000-0000-0000-000000000000}"/>
  <bookViews>
    <workbookView xWindow="-120" yWindow="-120" windowWidth="25440" windowHeight="15540" tabRatio="854" activeTab="2" xr2:uid="{78FC1098-318A-4128-AAD3-AD6A35D65F6A}"/>
  </bookViews>
  <sheets>
    <sheet name="ADMIN_index" sheetId="43" r:id="rId1"/>
    <sheet name="003_ConvertWebBOMcheck" sheetId="56" state="hidden" r:id="rId2"/>
    <sheet name="CAM_XYZ" sheetId="77" r:id="rId3"/>
  </sheets>
  <functionGroups builtInGroupCount="19"/>
  <definedNames>
    <definedName name="RNG_14_FILE">#REF!</definedName>
    <definedName name="RNG_14_PATH">#REF!</definedName>
    <definedName name="RNG_GLOBAL_NOTEPAD_PP">ADMIN_index!$C$2</definedName>
    <definedName name="RNG_GLOBAL_SQLITE">ADMIN_index!$C$3</definedName>
    <definedName name="RNG_PARAMETERS">#REF!</definedName>
    <definedName name="rngEXPORT_DRIV">#REF!</definedName>
    <definedName name="rngEXPORT_DRIVE_Tabelle28">#REF!</definedName>
    <definedName name="rngEXPORT_DRIVE_Tabelle33">#REF!</definedName>
    <definedName name="rngEXPORT_DRIVE_Tabelle34">CAM_XYZ!$AL$6</definedName>
    <definedName name="rngEXPORT_NAME_Tabelle28">#REF!</definedName>
    <definedName name="rngEXPORT_NAME_Tabelle33">#REF!</definedName>
    <definedName name="rngEXPORT_NAME_Tabelle34">CAM_XYZ!$AL$9</definedName>
    <definedName name="rngEXPORT_ROOT_Tabelle28">#REF!</definedName>
    <definedName name="rngEXPORT_ROOT_Tabelle33">#REF!</definedName>
    <definedName name="rngEXPORT_ROOT_Tabelle34">CAM_XYZ!$AL$7</definedName>
    <definedName name="rngEXPORT_URL_Tabelle28">#REF!</definedName>
    <definedName name="rngEXPORT_URL_Tabelle33">#REF!</definedName>
    <definedName name="rngEXPORT_URL_Tabelle34">CAM_XYZ!$AL$5</definedName>
    <definedName name="rngEXPORT_USER_Tabelle34">CAM_XYZ!$AL$8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F8" i="77" l="1"/>
  <c r="CM8" i="77"/>
  <c r="AL4" i="77" a="1"/>
  <c r="AL4" i="77" l="1"/>
  <c r="CM5" i="77" l="1"/>
  <c r="CM7" i="77"/>
  <c r="CM6" i="77"/>
  <c r="CM9" i="7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<sst xmlns="http://schemas.openxmlformats.org/spreadsheetml/2006/main" count="48" uniqueCount="42">
  <si>
    <t>Middleware Documentation</t>
  </si>
  <si>
    <t>BOM Rules Check</t>
  </si>
  <si>
    <t>Level 1</t>
  </si>
  <si>
    <t>003_ConvertWebBOMcheck</t>
  </si>
  <si>
    <t>003_ConvertWebBOMcheck!A1</t>
  </si>
  <si>
    <t>INPUT</t>
  </si>
  <si>
    <t>OUTPUT</t>
  </si>
  <si>
    <t>Process</t>
  </si>
  <si>
    <t>Notes</t>
  </si>
  <si>
    <t>ADMIN_index</t>
  </si>
  <si>
    <t>ADMIN_index!A1</t>
  </si>
  <si>
    <t>DATA_drives</t>
  </si>
  <si>
    <t>DATA_drives!A1</t>
  </si>
  <si>
    <t>CODE90_LSMW</t>
  </si>
  <si>
    <t>CODE90_LSMW!A1</t>
  </si>
  <si>
    <t>Data by Mass Process 2021</t>
  </si>
  <si>
    <t>CODE2021_epl_Data_By_Mass</t>
  </si>
  <si>
    <t>CODE2021_epl_Data_By_Mass!A1</t>
  </si>
  <si>
    <t>CODE2021_epl_Data_By_Mass_D</t>
  </si>
  <si>
    <t>CODE2021_epl_Data_By_Mass_D!A1</t>
  </si>
  <si>
    <t>Path to N++</t>
  </si>
  <si>
    <t>C:\ProgrammePortable\Notepad++Portable\Notepad++Portable.exe</t>
  </si>
  <si>
    <t>Path to Sqlite</t>
  </si>
  <si>
    <t>:</t>
  </si>
  <si>
    <t>Table Index</t>
  </si>
  <si>
    <t>MLS0006_B0001-FUN37</t>
  </si>
  <si>
    <t>%ROOT%</t>
  </si>
  <si>
    <t>%EXPORT%</t>
  </si>
  <si>
    <t>\ for win Folders</t>
  </si>
  <si>
    <t>/ for web url</t>
  </si>
  <si>
    <t>%DRIVE%</t>
  </si>
  <si>
    <t>\\10.236.177.4\D_Drive</t>
  </si>
  <si>
    <t>%URL%</t>
  </si>
  <si>
    <t>http://10.236.177.4:8080</t>
  </si>
  <si>
    <t>rngEXPORT_URL</t>
  </si>
  <si>
    <t>rngEXPORT_DRIVE</t>
  </si>
  <si>
    <t>rngEXPORT_ROOT</t>
  </si>
  <si>
    <t>rngEXPORT_NAME</t>
  </si>
  <si>
    <t>C:\PortableApps\SQLiteStudio\SQLiteStudio.exe</t>
  </si>
  <si>
    <t>C:\Users\sesa237770\Documents\GITBOX\PY_Samples\Cam</t>
  </si>
  <si>
    <t>MPA</t>
  </si>
  <si>
    <t>%USER1%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</si>
</sst>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22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 applyFill="1"/>
    <xf numFmtId="0" fontId="0" fillId="4" borderId="0" xfId="0" applyFill="1"/>
    <xf numFmtId="0" fontId="2" fillId="4" borderId="0" xfId="0" applyFont="1" applyFill="1"/>
    <xf numFmtId="0" fontId="0" fillId="4" borderId="0" xfId="0" applyFill="1" applyAlignment="1">
      <alignment horizontal="center"/>
    </xf>
    <xf numFmtId="0" fontId="4" fillId="4" borderId="0" xfId="0" applyFont="1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/>
    <xf numFmtId="0" fontId="0" fillId="2" borderId="0" xfId="0" applyFill="1" applyAlignment="1">
      <alignment vertical="center"/>
    </xf>
    <xf numFmtId="0" fontId="0" fillId="3" borderId="0" xfId="0" applyFill="1"/>
    <xf numFmtId="0" fontId="4" fillId="0" borderId="0" xfId="0" applyFont="1" applyFill="1"/>
    <xf numFmtId="0" fontId="3" fillId="0" borderId="0" xfId="1"/>
    <xf numFmtId="0" fontId="5" fillId="2" borderId="0" xfId="0" applyFont="1" applyFill="1"/>
    <xf numFmtId="0" fontId="0" fillId="2" borderId="0" xfId="0" applyFill="1"/>
    <xf numFmtId="0" fontId="5" fillId="3" borderId="0" xfId="0" applyFont="1" applyFill="1"/>
    <xf numFmtId="0" fontId="5" fillId="7" borderId="0" xfId="0" applyFont="1" applyFill="1"/>
    <xf numFmtId="0" fontId="0" fillId="7" borderId="0" xfId="0" applyFill="1"/>
    <xf numFmtId="0" fontId="5" fillId="8" borderId="0" xfId="0" applyFont="1" applyFill="1"/>
    <xf numFmtId="0" fontId="0" fillId="8" borderId="0" xfId="0" applyFill="1"/>
    <xf numFmtId="0" fontId="0" fillId="9" borderId="0" xfId="0" applyFill="1"/>
    <xf numFmtId="0" fontId="7" fillId="10" borderId="0" xfId="0" applyFont="1" applyFill="1"/>
    <xf numFmtId="0" fontId="7" fillId="10" borderId="0" xfId="0" applyFont="1" applyFill="1" applyAlignment="1">
      <alignment vertical="center"/>
    </xf>
    <xf numFmtId="0" fontId="6" fillId="9" borderId="2" xfId="0" applyFont="1" applyFill="1" applyBorder="1" applyAlignment="1"/>
    <xf numFmtId="0" fontId="8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6" fillId="9" borderId="0" xfId="0" applyFont="1" applyFill="1" applyBorder="1" applyAlignment="1"/>
    <xf numFmtId="0" fontId="9" fillId="2" borderId="0" xfId="0" applyFont="1" applyFill="1" applyBorder="1" applyAlignment="1">
      <alignment horizontal="right" vertical="center"/>
    </xf>
    <xf numFmtId="0" fontId="10" fillId="9" borderId="0" xfId="0" applyFont="1" applyFill="1" applyBorder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4" borderId="0" xfId="0" applyFill="1" applyAlignment="1">
      <alignment vertical="center"/>
    </xf>
    <xf numFmtId="0" fontId="6" fillId="4" borderId="0" xfId="0" applyFont="1" applyFill="1" applyBorder="1" applyAlignment="1"/>
    <xf numFmtId="0" fontId="0" fillId="9" borderId="0" xfId="0" applyFill="1" applyBorder="1"/>
    <xf numFmtId="0" fontId="6" fillId="4" borderId="3" xfId="0" applyFont="1" applyFill="1" applyBorder="1" applyAlignment="1"/>
    <xf numFmtId="0" fontId="0" fillId="0" borderId="0" xfId="0" applyFill="1"/>
    <xf numFmtId="0" fontId="0" fillId="0" borderId="0" xfId="0" applyFill="1" applyAlignment="1">
      <alignment vertical="center"/>
    </xf>
    <xf numFmtId="0" fontId="6" fillId="0" borderId="0" xfId="0" applyFont="1" applyFill="1" applyBorder="1" applyAlignment="1"/>
    <xf numFmtId="0" fontId="11" fillId="2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E89F"/>
      <color rgb="FFFFFF99"/>
      <color rgb="FF00FF00"/>
      <color rgb="FFFF6600"/>
      <color rgb="FFFF33CC"/>
      <color rgb="FFFFB3FF"/>
      <color rgb="FFDC39FD"/>
      <color rgb="FFFF00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164167</xdr:colOff>
      <xdr:row>4</xdr:row>
      <xdr:rowOff>80122</xdr:rowOff>
    </xdr:from>
    <xdr:to>
      <xdr:col>1</xdr:col>
      <xdr:colOff>1557618</xdr:colOff>
      <xdr:row>4</xdr:row>
      <xdr:rowOff>384922</xdr:rowOff>
    </xdr:to>
    <xdr:sp macro="[0]!ListSheets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7CB2A80-B156-4FDD-BF73-5B9DECD52229}"/>
            </a:ext>
          </a:extLst>
        </xdr:cNvPr>
        <xdr:cNvSpPr/>
      </xdr:nvSpPr>
      <xdr:spPr>
        <a:xfrm>
          <a:off x="892549" y="80122"/>
          <a:ext cx="1393451" cy="304800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de-DE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2</xdr:col>
      <xdr:colOff>314325</xdr:colOff>
      <xdr:row>4</xdr:row>
      <xdr:rowOff>104775</xdr:rowOff>
    </xdr:from>
    <xdr:to>
      <xdr:col>2</xdr:col>
      <xdr:colOff>1142586</xdr:colOff>
      <xdr:row>4</xdr:row>
      <xdr:rowOff>564216</xdr:rowOff>
    </xdr:to>
    <xdr:sp macro="" textlink="">
      <xdr:nvSpPr>
        <xdr:cNvPr id="19" name="Pfeil: Fünfeck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25280-33DD-4480-AC94-2927102EB7B8}"/>
            </a:ext>
          </a:extLst>
        </xdr:cNvPr>
        <xdr:cNvSpPr/>
      </xdr:nvSpPr>
      <xdr:spPr>
        <a:xfrm flipH="1">
          <a:off x="4457700" y="104775"/>
          <a:ext cx="828261" cy="459441"/>
        </a:xfrm>
        <a:prstGeom prst="homePlate">
          <a:avLst>
            <a:gd name="adj" fmla="val 8537"/>
          </a:avLst>
        </a:prstGeom>
        <a:solidFill>
          <a:srgbClr val="9D05CD"/>
        </a:solidFill>
        <a:ln cmpd="dbl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ctr">
          <a:noAutofit/>
        </a:bodyPr>
        <a:lstStyle/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LINK </a:t>
          </a:r>
        </a:p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INDEX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126188</xdr:colOff>
      <xdr:row>0</xdr:row>
      <xdr:rowOff>53612</xdr:rowOff>
    </xdr:from>
    <xdr:to>
      <xdr:col>45</xdr:col>
      <xdr:colOff>91588</xdr:colOff>
      <xdr:row>0</xdr:row>
      <xdr:rowOff>266972</xdr:rowOff>
    </xdr:to>
    <xdr:sp macro="[0]!OpenExplorer_on_Full_Path" textlink="">
      <xdr:nvSpPr>
        <xdr:cNvPr id="55" name="Rechteck 54">
          <a:extLst>
            <a:ext uri="{FF2B5EF4-FFF2-40B4-BE49-F238E27FC236}">
              <a16:creationId xmlns:a16="http://schemas.microsoft.com/office/drawing/2014/main" id="{9C3AD702-CD55-4932-B49F-3C9787815531}"/>
            </a:ext>
          </a:extLst>
        </xdr:cNvPr>
        <xdr:cNvSpPr/>
      </xdr:nvSpPr>
      <xdr:spPr>
        <a:xfrm>
          <a:off x="6279338" y="53612"/>
          <a:ext cx="195612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99391</xdr:colOff>
      <xdr:row>0</xdr:row>
      <xdr:rowOff>51936</xdr:rowOff>
    </xdr:from>
    <xdr:to>
      <xdr:col>34</xdr:col>
      <xdr:colOff>62622</xdr:colOff>
      <xdr:row>0</xdr:row>
      <xdr:rowOff>265296</xdr:rowOff>
    </xdr:to>
    <xdr:sp macro="[0]!OpenNotepad_PP_On_Full_Path" textlink="">
      <xdr:nvSpPr>
        <xdr:cNvPr id="56" name="Rechteck 55">
          <a:extLst>
            <a:ext uri="{FF2B5EF4-FFF2-40B4-BE49-F238E27FC236}">
              <a16:creationId xmlns:a16="http://schemas.microsoft.com/office/drawing/2014/main" id="{44374E8F-80FB-4499-A6E1-68EB4E7625A1}"/>
            </a:ext>
          </a:extLst>
        </xdr:cNvPr>
        <xdr:cNvSpPr/>
      </xdr:nvSpPr>
      <xdr:spPr>
        <a:xfrm>
          <a:off x="4261816" y="51936"/>
          <a:ext cx="195395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34</xdr:col>
      <xdr:colOff>154445</xdr:colOff>
      <xdr:row>0</xdr:row>
      <xdr:rowOff>308697</xdr:rowOff>
    </xdr:from>
    <xdr:to>
      <xdr:col>45</xdr:col>
      <xdr:colOff>111564</xdr:colOff>
      <xdr:row>0</xdr:row>
      <xdr:rowOff>522057</xdr:rowOff>
    </xdr:to>
    <xdr:sp macro="[0]!OpenExplorer_on_Relative_Path" textlink="">
      <xdr:nvSpPr>
        <xdr:cNvPr id="57" name="Rechteck 56">
          <a:extLst>
            <a:ext uri="{FF2B5EF4-FFF2-40B4-BE49-F238E27FC236}">
              <a16:creationId xmlns:a16="http://schemas.microsoft.com/office/drawing/2014/main" id="{A6895276-9444-4F36-9902-2BCCFDD8DD55}"/>
            </a:ext>
          </a:extLst>
        </xdr:cNvPr>
        <xdr:cNvSpPr/>
      </xdr:nvSpPr>
      <xdr:spPr>
        <a:xfrm>
          <a:off x="6307595" y="308697"/>
          <a:ext cx="1947844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(Open on Rel. Path)</a:t>
          </a:r>
        </a:p>
      </xdr:txBody>
    </xdr:sp>
    <xdr:clientData/>
  </xdr:twoCellAnchor>
  <xdr:twoCellAnchor>
    <xdr:from>
      <xdr:col>45</xdr:col>
      <xdr:colOff>181464</xdr:colOff>
      <xdr:row>0</xdr:row>
      <xdr:rowOff>43654</xdr:rowOff>
    </xdr:from>
    <xdr:to>
      <xdr:col>56</xdr:col>
      <xdr:colOff>135660</xdr:colOff>
      <xdr:row>0</xdr:row>
      <xdr:rowOff>257014</xdr:rowOff>
    </xdr:to>
    <xdr:sp macro="[0]!OpenNotepad_on_Full_Path" textlink="">
      <xdr:nvSpPr>
        <xdr:cNvPr id="58" name="Rechteck 57">
          <a:extLst>
            <a:ext uri="{FF2B5EF4-FFF2-40B4-BE49-F238E27FC236}">
              <a16:creationId xmlns:a16="http://schemas.microsoft.com/office/drawing/2014/main" id="{720FDF74-7C24-40DC-B80A-21B2D7F7F8FC}"/>
            </a:ext>
          </a:extLst>
        </xdr:cNvPr>
        <xdr:cNvSpPr/>
      </xdr:nvSpPr>
      <xdr:spPr>
        <a:xfrm>
          <a:off x="8325339" y="43654"/>
          <a:ext cx="194492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57</xdr:col>
      <xdr:colOff>60151</xdr:colOff>
      <xdr:row>0</xdr:row>
      <xdr:rowOff>310354</xdr:rowOff>
    </xdr:from>
    <xdr:to>
      <xdr:col>68</xdr:col>
      <xdr:colOff>20459</xdr:colOff>
      <xdr:row>0</xdr:row>
      <xdr:rowOff>523714</xdr:rowOff>
    </xdr:to>
    <xdr:sp macro="[0]!OpenSQLite_On_Relative_Path" textlink="">
      <xdr:nvSpPr>
        <xdr:cNvPr id="59" name="Rechteck 58">
          <a:extLst>
            <a:ext uri="{FF2B5EF4-FFF2-40B4-BE49-F238E27FC236}">
              <a16:creationId xmlns:a16="http://schemas.microsoft.com/office/drawing/2014/main" id="{FAFC0AEC-7A77-4BF8-B5CE-FA2F2AD10F0E}"/>
            </a:ext>
          </a:extLst>
        </xdr:cNvPr>
        <xdr:cNvSpPr/>
      </xdr:nvSpPr>
      <xdr:spPr>
        <a:xfrm>
          <a:off x="10375726" y="310354"/>
          <a:ext cx="1951033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Rel. Path)</a:t>
          </a:r>
        </a:p>
      </xdr:txBody>
    </xdr:sp>
    <xdr:clientData/>
  </xdr:twoCellAnchor>
  <xdr:twoCellAnchor>
    <xdr:from>
      <xdr:col>57</xdr:col>
      <xdr:colOff>48945</xdr:colOff>
      <xdr:row>0</xdr:row>
      <xdr:rowOff>41413</xdr:rowOff>
    </xdr:from>
    <xdr:to>
      <xdr:col>68</xdr:col>
      <xdr:colOff>9253</xdr:colOff>
      <xdr:row>0</xdr:row>
      <xdr:rowOff>254773</xdr:rowOff>
    </xdr:to>
    <xdr:sp macro="[0]!OpenSQLite_On_Full_Path" textlink="">
      <xdr:nvSpPr>
        <xdr:cNvPr id="60" name="Rechteck 59">
          <a:extLst>
            <a:ext uri="{FF2B5EF4-FFF2-40B4-BE49-F238E27FC236}">
              <a16:creationId xmlns:a16="http://schemas.microsoft.com/office/drawing/2014/main" id="{DC0E4201-2DAF-496C-8AED-F402EB6347EA}"/>
            </a:ext>
          </a:extLst>
        </xdr:cNvPr>
        <xdr:cNvSpPr/>
      </xdr:nvSpPr>
      <xdr:spPr>
        <a:xfrm>
          <a:off x="10364520" y="41413"/>
          <a:ext cx="1951033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 editAs="oneCell">
    <xdr:from>
      <xdr:col>2</xdr:col>
      <xdr:colOff>49697</xdr:colOff>
      <xdr:row>7</xdr:row>
      <xdr:rowOff>49697</xdr:rowOff>
    </xdr:from>
    <xdr:to>
      <xdr:col>4</xdr:col>
      <xdr:colOff>66262</xdr:colOff>
      <xdr:row>9</xdr:row>
      <xdr:rowOff>49697</xdr:rowOff>
    </xdr:to>
    <xdr:pic>
      <xdr:nvPicPr>
        <xdr:cNvPr id="69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9B3CB41D-AA54-415D-A984-D91EB0DF2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32" y="178904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57981</xdr:colOff>
      <xdr:row>9</xdr:row>
      <xdr:rowOff>49696</xdr:rowOff>
    </xdr:from>
    <xdr:to>
      <xdr:col>5</xdr:col>
      <xdr:colOff>0</xdr:colOff>
      <xdr:row>12</xdr:row>
      <xdr:rowOff>119477</xdr:rowOff>
    </xdr:to>
    <xdr:cxnSp macro="">
      <xdr:nvCxnSpPr>
        <xdr:cNvPr id="72" name="Verbinder: gewinkelt 71">
          <a:extLst>
            <a:ext uri="{FF2B5EF4-FFF2-40B4-BE49-F238E27FC236}">
              <a16:creationId xmlns:a16="http://schemas.microsoft.com/office/drawing/2014/main" id="{29635787-C3E9-4D27-9BE1-5E675EE9DFA1}"/>
            </a:ext>
          </a:extLst>
        </xdr:cNvPr>
        <xdr:cNvCxnSpPr>
          <a:stCxn id="69" idx="2"/>
          <a:endCxn id="99" idx="1"/>
        </xdr:cNvCxnSpPr>
      </xdr:nvCxnSpPr>
      <xdr:spPr>
        <a:xfrm rot="16200000" flipH="1">
          <a:off x="437219" y="2337458"/>
          <a:ext cx="641281" cy="30645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66262</xdr:colOff>
      <xdr:row>7</xdr:row>
      <xdr:rowOff>82828</xdr:rowOff>
    </xdr:from>
    <xdr:to>
      <xdr:col>13</xdr:col>
      <xdr:colOff>82827</xdr:colOff>
      <xdr:row>9</xdr:row>
      <xdr:rowOff>82828</xdr:rowOff>
    </xdr:to>
    <xdr:pic>
      <xdr:nvPicPr>
        <xdr:cNvPr id="76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3BFC70BE-B153-418F-975D-A2C75F4C8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0653" y="1822176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74544</xdr:colOff>
      <xdr:row>9</xdr:row>
      <xdr:rowOff>82828</xdr:rowOff>
    </xdr:from>
    <xdr:to>
      <xdr:col>14</xdr:col>
      <xdr:colOff>49696</xdr:colOff>
      <xdr:row>12</xdr:row>
      <xdr:rowOff>102912</xdr:rowOff>
    </xdr:to>
    <xdr:cxnSp macro="">
      <xdr:nvCxnSpPr>
        <xdr:cNvPr id="79" name="Verbinder: gewinkelt 78">
          <a:extLst>
            <a:ext uri="{FF2B5EF4-FFF2-40B4-BE49-F238E27FC236}">
              <a16:creationId xmlns:a16="http://schemas.microsoft.com/office/drawing/2014/main" id="{5EC64AFD-B511-4CE3-83ED-75CEE4484ECE}"/>
            </a:ext>
          </a:extLst>
        </xdr:cNvPr>
        <xdr:cNvCxnSpPr>
          <a:stCxn id="76" idx="2"/>
          <a:endCxn id="94" idx="1"/>
        </xdr:cNvCxnSpPr>
      </xdr:nvCxnSpPr>
      <xdr:spPr>
        <a:xfrm rot="16200000" flipH="1">
          <a:off x="2135154" y="2329175"/>
          <a:ext cx="591584" cy="339586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38</xdr:col>
      <xdr:colOff>17734</xdr:colOff>
      <xdr:row>11</xdr:row>
      <xdr:rowOff>66263</xdr:rowOff>
    </xdr:from>
    <xdr:to>
      <xdr:col>40</xdr:col>
      <xdr:colOff>24848</xdr:colOff>
      <xdr:row>13</xdr:row>
      <xdr:rowOff>66263</xdr:rowOff>
    </xdr:to>
    <xdr:pic>
      <xdr:nvPicPr>
        <xdr:cNvPr id="85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B7C4C001-B3FC-4576-988F-F9A74D207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1995" y="2567611"/>
          <a:ext cx="371549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74544</xdr:colOff>
      <xdr:row>14</xdr:row>
      <xdr:rowOff>115957</xdr:rowOff>
    </xdr:from>
    <xdr:to>
      <xdr:col>16</xdr:col>
      <xdr:colOff>43992</xdr:colOff>
      <xdr:row>16</xdr:row>
      <xdr:rowOff>74544</xdr:rowOff>
    </xdr:to>
    <xdr:pic>
      <xdr:nvPicPr>
        <xdr:cNvPr id="86" name="Grafik 85">
          <a:extLst>
            <a:ext uri="{FF2B5EF4-FFF2-40B4-BE49-F238E27FC236}">
              <a16:creationId xmlns:a16="http://schemas.microsoft.com/office/drawing/2014/main" id="{A025F3AD-124C-42ED-AEE2-7EA6551FB9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5587" y="3188805"/>
          <a:ext cx="333883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82827</xdr:colOff>
      <xdr:row>17</xdr:row>
      <xdr:rowOff>8283</xdr:rowOff>
    </xdr:from>
    <xdr:to>
      <xdr:col>16</xdr:col>
      <xdr:colOff>84849</xdr:colOff>
      <xdr:row>19</xdr:row>
      <xdr:rowOff>1</xdr:rowOff>
    </xdr:to>
    <xdr:pic>
      <xdr:nvPicPr>
        <xdr:cNvPr id="87" name="Grafik 86">
          <a:extLst>
            <a:ext uri="{FF2B5EF4-FFF2-40B4-BE49-F238E27FC236}">
              <a16:creationId xmlns:a16="http://schemas.microsoft.com/office/drawing/2014/main" id="{650C0F9C-5314-435A-B281-CC5402ED6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3870" y="3652631"/>
          <a:ext cx="366457" cy="3727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132523</xdr:colOff>
      <xdr:row>7</xdr:row>
      <xdr:rowOff>132522</xdr:rowOff>
    </xdr:from>
    <xdr:to>
      <xdr:col>6</xdr:col>
      <xdr:colOff>124241</xdr:colOff>
      <xdr:row>8</xdr:row>
      <xdr:rowOff>173935</xdr:rowOff>
    </xdr:to>
    <xdr:sp macro="" textlink="">
      <xdr:nvSpPr>
        <xdr:cNvPr id="91" name="Textfeld 90">
          <a:extLst>
            <a:ext uri="{FF2B5EF4-FFF2-40B4-BE49-F238E27FC236}">
              <a16:creationId xmlns:a16="http://schemas.microsoft.com/office/drawing/2014/main" id="{7CE71CEE-2BA0-4973-B192-1D4A7DAE43A9}"/>
            </a:ext>
          </a:extLst>
        </xdr:cNvPr>
        <xdr:cNvSpPr txBox="1"/>
      </xdr:nvSpPr>
      <xdr:spPr>
        <a:xfrm>
          <a:off x="861393" y="1871870"/>
          <a:ext cx="356152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PD</a:t>
          </a:r>
        </a:p>
      </xdr:txBody>
    </xdr:sp>
    <xdr:clientData/>
  </xdr:twoCellAnchor>
  <xdr:twoCellAnchor>
    <xdr:from>
      <xdr:col>32</xdr:col>
      <xdr:colOff>0</xdr:colOff>
      <xdr:row>11</xdr:row>
      <xdr:rowOff>182218</xdr:rowOff>
    </xdr:from>
    <xdr:to>
      <xdr:col>34</xdr:col>
      <xdr:colOff>157370</xdr:colOff>
      <xdr:row>13</xdr:row>
      <xdr:rowOff>33131</xdr:rowOff>
    </xdr:to>
    <xdr:sp macro="" textlink="">
      <xdr:nvSpPr>
        <xdr:cNvPr id="92" name="Textfeld 91">
          <a:extLst>
            <a:ext uri="{FF2B5EF4-FFF2-40B4-BE49-F238E27FC236}">
              <a16:creationId xmlns:a16="http://schemas.microsoft.com/office/drawing/2014/main" id="{EDD0069A-C423-4DC3-8955-E96C495002C0}"/>
            </a:ext>
          </a:extLst>
        </xdr:cNvPr>
        <xdr:cNvSpPr txBox="1"/>
      </xdr:nvSpPr>
      <xdr:spPr>
        <a:xfrm>
          <a:off x="5830957" y="2683566"/>
          <a:ext cx="521804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>
    <xdr:from>
      <xdr:col>14</xdr:col>
      <xdr:colOff>1</xdr:colOff>
      <xdr:row>7</xdr:row>
      <xdr:rowOff>182218</xdr:rowOff>
    </xdr:from>
    <xdr:to>
      <xdr:col>15</xdr:col>
      <xdr:colOff>173935</xdr:colOff>
      <xdr:row>9</xdr:row>
      <xdr:rowOff>33131</xdr:rowOff>
    </xdr:to>
    <xdr:sp macro="" textlink="">
      <xdr:nvSpPr>
        <xdr:cNvPr id="93" name="Textfeld 92">
          <a:extLst>
            <a:ext uri="{FF2B5EF4-FFF2-40B4-BE49-F238E27FC236}">
              <a16:creationId xmlns:a16="http://schemas.microsoft.com/office/drawing/2014/main" id="{F2E176A9-1E89-42C3-AC81-AB94317ACB04}"/>
            </a:ext>
          </a:extLst>
        </xdr:cNvPr>
        <xdr:cNvSpPr txBox="1"/>
      </xdr:nvSpPr>
      <xdr:spPr>
        <a:xfrm>
          <a:off x="2551044" y="1921566"/>
          <a:ext cx="356152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PD</a:t>
          </a:r>
        </a:p>
      </xdr:txBody>
    </xdr:sp>
    <xdr:clientData/>
  </xdr:twoCellAnchor>
  <xdr:twoCellAnchor editAs="oneCell">
    <xdr:from>
      <xdr:col>14</xdr:col>
      <xdr:colOff>49696</xdr:colOff>
      <xdr:row>11</xdr:row>
      <xdr:rowOff>107674</xdr:rowOff>
    </xdr:from>
    <xdr:to>
      <xdr:col>16</xdr:col>
      <xdr:colOff>38928</xdr:colOff>
      <xdr:row>13</xdr:row>
      <xdr:rowOff>98149</xdr:rowOff>
    </xdr:to>
    <xdr:pic>
      <xdr:nvPicPr>
        <xdr:cNvPr id="94" name="Grafik 93">
          <a:extLst>
            <a:ext uri="{FF2B5EF4-FFF2-40B4-BE49-F238E27FC236}">
              <a16:creationId xmlns:a16="http://schemas.microsoft.com/office/drawing/2014/main" id="{69F00F90-21D9-44C0-AC4F-F734D36E6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739" y="2609022"/>
          <a:ext cx="353667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182216</xdr:colOff>
      <xdr:row>11</xdr:row>
      <xdr:rowOff>124240</xdr:rowOff>
    </xdr:from>
    <xdr:to>
      <xdr:col>6</xdr:col>
      <xdr:colOff>171449</xdr:colOff>
      <xdr:row>13</xdr:row>
      <xdr:rowOff>114715</xdr:rowOff>
    </xdr:to>
    <xdr:pic>
      <xdr:nvPicPr>
        <xdr:cNvPr id="99" name="Grafik 98">
          <a:extLst>
            <a:ext uri="{FF2B5EF4-FFF2-40B4-BE49-F238E27FC236}">
              <a16:creationId xmlns:a16="http://schemas.microsoft.com/office/drawing/2014/main" id="{85F4529D-5893-46D8-B10E-A30845F70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086" y="2625588"/>
          <a:ext cx="353667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74545</xdr:colOff>
      <xdr:row>9</xdr:row>
      <xdr:rowOff>82827</xdr:rowOff>
    </xdr:from>
    <xdr:to>
      <xdr:col>14</xdr:col>
      <xdr:colOff>74545</xdr:colOff>
      <xdr:row>15</xdr:row>
      <xdr:rowOff>95250</xdr:rowOff>
    </xdr:to>
    <xdr:cxnSp macro="">
      <xdr:nvCxnSpPr>
        <xdr:cNvPr id="104" name="Verbinder: gewinkelt 103">
          <a:extLst>
            <a:ext uri="{FF2B5EF4-FFF2-40B4-BE49-F238E27FC236}">
              <a16:creationId xmlns:a16="http://schemas.microsoft.com/office/drawing/2014/main" id="{5055F9D5-CE59-4C8F-92D8-C15A78EE5D3D}"/>
            </a:ext>
          </a:extLst>
        </xdr:cNvPr>
        <xdr:cNvCxnSpPr>
          <a:stCxn id="76" idx="2"/>
          <a:endCxn id="86" idx="1"/>
        </xdr:cNvCxnSpPr>
      </xdr:nvCxnSpPr>
      <xdr:spPr>
        <a:xfrm rot="16200000" flipH="1">
          <a:off x="1865659" y="2598670"/>
          <a:ext cx="1155423" cy="36443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74543</xdr:colOff>
      <xdr:row>9</xdr:row>
      <xdr:rowOff>82828</xdr:rowOff>
    </xdr:from>
    <xdr:to>
      <xdr:col>14</xdr:col>
      <xdr:colOff>82826</xdr:colOff>
      <xdr:row>18</xdr:row>
      <xdr:rowOff>4142</xdr:rowOff>
    </xdr:to>
    <xdr:cxnSp macro="">
      <xdr:nvCxnSpPr>
        <xdr:cNvPr id="107" name="Verbinder: gewinkelt 106">
          <a:extLst>
            <a:ext uri="{FF2B5EF4-FFF2-40B4-BE49-F238E27FC236}">
              <a16:creationId xmlns:a16="http://schemas.microsoft.com/office/drawing/2014/main" id="{5D716D5A-B0B0-4850-959D-131D3953B3BC}"/>
            </a:ext>
          </a:extLst>
        </xdr:cNvPr>
        <xdr:cNvCxnSpPr>
          <a:stCxn id="76" idx="2"/>
          <a:endCxn id="87" idx="1"/>
        </xdr:cNvCxnSpPr>
      </xdr:nvCxnSpPr>
      <xdr:spPr>
        <a:xfrm rot="16200000" flipH="1">
          <a:off x="1629604" y="2834724"/>
          <a:ext cx="1635814" cy="37271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29</xdr:col>
      <xdr:colOff>41413</xdr:colOff>
      <xdr:row>11</xdr:row>
      <xdr:rowOff>115957</xdr:rowOff>
    </xdr:from>
    <xdr:to>
      <xdr:col>31</xdr:col>
      <xdr:colOff>10861</xdr:colOff>
      <xdr:row>13</xdr:row>
      <xdr:rowOff>74544</xdr:rowOff>
    </xdr:to>
    <xdr:pic>
      <xdr:nvPicPr>
        <xdr:cNvPr id="111" name="Grafik 110">
          <a:extLst>
            <a:ext uri="{FF2B5EF4-FFF2-40B4-BE49-F238E27FC236}">
              <a16:creationId xmlns:a16="http://schemas.microsoft.com/office/drawing/2014/main" id="{D8DE2222-F2A9-4B50-BB24-5B014A473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5717" y="2617305"/>
          <a:ext cx="333883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140805</xdr:colOff>
      <xdr:row>14</xdr:row>
      <xdr:rowOff>91109</xdr:rowOff>
    </xdr:from>
    <xdr:to>
      <xdr:col>33</xdr:col>
      <xdr:colOff>130037</xdr:colOff>
      <xdr:row>16</xdr:row>
      <xdr:rowOff>81584</xdr:rowOff>
    </xdr:to>
    <xdr:pic>
      <xdr:nvPicPr>
        <xdr:cNvPr id="112" name="Grafik 111">
          <a:extLst>
            <a:ext uri="{FF2B5EF4-FFF2-40B4-BE49-F238E27FC236}">
              <a16:creationId xmlns:a16="http://schemas.microsoft.com/office/drawing/2014/main" id="{4BDDEAED-DA01-4921-957A-B04750195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9544" y="3163957"/>
          <a:ext cx="353667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26137</xdr:colOff>
      <xdr:row>13</xdr:row>
      <xdr:rowOff>74543</xdr:rowOff>
    </xdr:from>
    <xdr:to>
      <xdr:col>31</xdr:col>
      <xdr:colOff>140805</xdr:colOff>
      <xdr:row>15</xdr:row>
      <xdr:rowOff>86346</xdr:rowOff>
    </xdr:to>
    <xdr:cxnSp macro="">
      <xdr:nvCxnSpPr>
        <xdr:cNvPr id="113" name="Verbinder: gewinkelt 112">
          <a:extLst>
            <a:ext uri="{FF2B5EF4-FFF2-40B4-BE49-F238E27FC236}">
              <a16:creationId xmlns:a16="http://schemas.microsoft.com/office/drawing/2014/main" id="{29690859-6819-463E-B199-89B7BD30F5C7}"/>
            </a:ext>
          </a:extLst>
        </xdr:cNvPr>
        <xdr:cNvCxnSpPr>
          <a:stCxn id="111" idx="2"/>
          <a:endCxn id="112" idx="1"/>
        </xdr:cNvCxnSpPr>
      </xdr:nvCxnSpPr>
      <xdr:spPr>
        <a:xfrm rot="16200000" flipH="1">
          <a:off x="5444700" y="3004850"/>
          <a:ext cx="392803" cy="29688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31</xdr:col>
      <xdr:colOff>149088</xdr:colOff>
      <xdr:row>17</xdr:row>
      <xdr:rowOff>132522</xdr:rowOff>
    </xdr:from>
    <xdr:to>
      <xdr:col>33</xdr:col>
      <xdr:colOff>151110</xdr:colOff>
      <xdr:row>19</xdr:row>
      <xdr:rowOff>124240</xdr:rowOff>
    </xdr:to>
    <xdr:pic>
      <xdr:nvPicPr>
        <xdr:cNvPr id="117" name="Grafik 116">
          <a:extLst>
            <a:ext uri="{FF2B5EF4-FFF2-40B4-BE49-F238E27FC236}">
              <a16:creationId xmlns:a16="http://schemas.microsoft.com/office/drawing/2014/main" id="{78D2FF25-6D1F-41E4-9FD8-D26E11E28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7827" y="3776870"/>
          <a:ext cx="366457" cy="3727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26138</xdr:colOff>
      <xdr:row>13</xdr:row>
      <xdr:rowOff>74543</xdr:rowOff>
    </xdr:from>
    <xdr:to>
      <xdr:col>31</xdr:col>
      <xdr:colOff>149089</xdr:colOff>
      <xdr:row>18</xdr:row>
      <xdr:rowOff>128380</xdr:rowOff>
    </xdr:to>
    <xdr:cxnSp macro="">
      <xdr:nvCxnSpPr>
        <xdr:cNvPr id="118" name="Verbinder: gewinkelt 117">
          <a:extLst>
            <a:ext uri="{FF2B5EF4-FFF2-40B4-BE49-F238E27FC236}">
              <a16:creationId xmlns:a16="http://schemas.microsoft.com/office/drawing/2014/main" id="{A577359B-A3B1-41E6-9FBA-44D2B77972EF}"/>
            </a:ext>
          </a:extLst>
        </xdr:cNvPr>
        <xdr:cNvCxnSpPr>
          <a:stCxn id="111" idx="2"/>
          <a:endCxn id="117" idx="1"/>
        </xdr:cNvCxnSpPr>
      </xdr:nvCxnSpPr>
      <xdr:spPr>
        <a:xfrm rot="16200000" flipH="1">
          <a:off x="5142075" y="3307476"/>
          <a:ext cx="1006337" cy="30516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173936</xdr:colOff>
      <xdr:row>11</xdr:row>
      <xdr:rowOff>149087</xdr:rowOff>
    </xdr:from>
    <xdr:to>
      <xdr:col>26</xdr:col>
      <xdr:colOff>149088</xdr:colOff>
      <xdr:row>13</xdr:row>
      <xdr:rowOff>0</xdr:rowOff>
    </xdr:to>
    <xdr:sp macro="" textlink="">
      <xdr:nvSpPr>
        <xdr:cNvPr id="121" name="Textfeld 120">
          <a:extLst>
            <a:ext uri="{FF2B5EF4-FFF2-40B4-BE49-F238E27FC236}">
              <a16:creationId xmlns:a16="http://schemas.microsoft.com/office/drawing/2014/main" id="{325A8A56-5DE2-4FE8-A55F-D3413683304F}"/>
            </a:ext>
          </a:extLst>
        </xdr:cNvPr>
        <xdr:cNvSpPr txBox="1"/>
      </xdr:nvSpPr>
      <xdr:spPr>
        <a:xfrm>
          <a:off x="4364936" y="2650435"/>
          <a:ext cx="521804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 editAs="oneCell">
    <xdr:from>
      <xdr:col>21</xdr:col>
      <xdr:colOff>165652</xdr:colOff>
      <xdr:row>11</xdr:row>
      <xdr:rowOff>107675</xdr:rowOff>
    </xdr:from>
    <xdr:to>
      <xdr:col>23</xdr:col>
      <xdr:colOff>135100</xdr:colOff>
      <xdr:row>13</xdr:row>
      <xdr:rowOff>66262</xdr:rowOff>
    </xdr:to>
    <xdr:pic>
      <xdr:nvPicPr>
        <xdr:cNvPr id="122" name="Grafik 121">
          <a:extLst>
            <a:ext uri="{FF2B5EF4-FFF2-40B4-BE49-F238E27FC236}">
              <a16:creationId xmlns:a16="http://schemas.microsoft.com/office/drawing/2014/main" id="{29281DFF-F7D5-4A31-8E19-D07C1B43D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217" y="2609023"/>
          <a:ext cx="333883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24850</xdr:colOff>
      <xdr:row>14</xdr:row>
      <xdr:rowOff>124240</xdr:rowOff>
    </xdr:from>
    <xdr:to>
      <xdr:col>26</xdr:col>
      <xdr:colOff>14082</xdr:colOff>
      <xdr:row>16</xdr:row>
      <xdr:rowOff>114715</xdr:rowOff>
    </xdr:to>
    <xdr:pic>
      <xdr:nvPicPr>
        <xdr:cNvPr id="123" name="Grafik 122">
          <a:extLst>
            <a:ext uri="{FF2B5EF4-FFF2-40B4-BE49-F238E27FC236}">
              <a16:creationId xmlns:a16="http://schemas.microsoft.com/office/drawing/2014/main" id="{B3D9652F-74AA-48BD-BD50-9260E8089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8067" y="3197088"/>
          <a:ext cx="353667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150376</xdr:colOff>
      <xdr:row>13</xdr:row>
      <xdr:rowOff>66262</xdr:rowOff>
    </xdr:from>
    <xdr:to>
      <xdr:col>24</xdr:col>
      <xdr:colOff>24850</xdr:colOff>
      <xdr:row>15</xdr:row>
      <xdr:rowOff>119478</xdr:rowOff>
    </xdr:to>
    <xdr:cxnSp macro="">
      <xdr:nvCxnSpPr>
        <xdr:cNvPr id="124" name="Verbinder: gewinkelt 123">
          <a:extLst>
            <a:ext uri="{FF2B5EF4-FFF2-40B4-BE49-F238E27FC236}">
              <a16:creationId xmlns:a16="http://schemas.microsoft.com/office/drawing/2014/main" id="{8432BF73-AA23-41C3-A55A-A5977E161383}"/>
            </a:ext>
          </a:extLst>
        </xdr:cNvPr>
        <xdr:cNvCxnSpPr>
          <a:stCxn id="122" idx="2"/>
          <a:endCxn id="123" idx="1"/>
        </xdr:cNvCxnSpPr>
      </xdr:nvCxnSpPr>
      <xdr:spPr>
        <a:xfrm rot="16200000" flipH="1">
          <a:off x="4061505" y="3046264"/>
          <a:ext cx="434216" cy="23890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170311</xdr:colOff>
      <xdr:row>11</xdr:row>
      <xdr:rowOff>165654</xdr:rowOff>
    </xdr:from>
    <xdr:to>
      <xdr:col>43</xdr:col>
      <xdr:colOff>132520</xdr:colOff>
      <xdr:row>13</xdr:row>
      <xdr:rowOff>16567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1319B3CC-D49B-46FB-B7AD-84850C5B8B77}"/>
            </a:ext>
          </a:extLst>
        </xdr:cNvPr>
        <xdr:cNvSpPr txBox="1"/>
      </xdr:nvSpPr>
      <xdr:spPr>
        <a:xfrm>
          <a:off x="7459007" y="2667002"/>
          <a:ext cx="508861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 editAs="oneCell">
    <xdr:from>
      <xdr:col>40</xdr:col>
      <xdr:colOff>58469</xdr:colOff>
      <xdr:row>14</xdr:row>
      <xdr:rowOff>107673</xdr:rowOff>
    </xdr:from>
    <xdr:to>
      <xdr:col>42</xdr:col>
      <xdr:colOff>38929</xdr:colOff>
      <xdr:row>16</xdr:row>
      <xdr:rowOff>98148</xdr:rowOff>
    </xdr:to>
    <xdr:pic>
      <xdr:nvPicPr>
        <xdr:cNvPr id="131" name="Grafik 130">
          <a:extLst>
            <a:ext uri="{FF2B5EF4-FFF2-40B4-BE49-F238E27FC236}">
              <a16:creationId xmlns:a16="http://schemas.microsoft.com/office/drawing/2014/main" id="{3F36B428-C438-4E2F-A643-0E99E8299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7165" y="3180521"/>
          <a:ext cx="34489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21291</xdr:colOff>
      <xdr:row>13</xdr:row>
      <xdr:rowOff>66263</xdr:rowOff>
    </xdr:from>
    <xdr:to>
      <xdr:col>40</xdr:col>
      <xdr:colOff>58468</xdr:colOff>
      <xdr:row>15</xdr:row>
      <xdr:rowOff>102911</xdr:rowOff>
    </xdr:to>
    <xdr:cxnSp macro="">
      <xdr:nvCxnSpPr>
        <xdr:cNvPr id="132" name="Verbinder: gewinkelt 131">
          <a:extLst>
            <a:ext uri="{FF2B5EF4-FFF2-40B4-BE49-F238E27FC236}">
              <a16:creationId xmlns:a16="http://schemas.microsoft.com/office/drawing/2014/main" id="{DE3BE47C-4038-4170-B1C8-97E00BC6D1CA}"/>
            </a:ext>
          </a:extLst>
        </xdr:cNvPr>
        <xdr:cNvCxnSpPr>
          <a:stCxn id="85" idx="2"/>
          <a:endCxn id="131" idx="1"/>
        </xdr:cNvCxnSpPr>
      </xdr:nvCxnSpPr>
      <xdr:spPr>
        <a:xfrm rot="16200000" flipH="1">
          <a:off x="7028643" y="3047737"/>
          <a:ext cx="417648" cy="21939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170310</xdr:colOff>
      <xdr:row>11</xdr:row>
      <xdr:rowOff>132523</xdr:rowOff>
    </xdr:from>
    <xdr:to>
      <xdr:col>51</xdr:col>
      <xdr:colOff>132519</xdr:colOff>
      <xdr:row>12</xdr:row>
      <xdr:rowOff>173936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BCB84430-A784-4F5E-B10E-F43E30042CA8}"/>
            </a:ext>
          </a:extLst>
        </xdr:cNvPr>
        <xdr:cNvSpPr txBox="1"/>
      </xdr:nvSpPr>
      <xdr:spPr>
        <a:xfrm>
          <a:off x="8916745" y="2633871"/>
          <a:ext cx="508861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>
    <xdr:from>
      <xdr:col>46</xdr:col>
      <xdr:colOff>137954</xdr:colOff>
      <xdr:row>13</xdr:row>
      <xdr:rowOff>8283</xdr:rowOff>
    </xdr:from>
    <xdr:to>
      <xdr:col>48</xdr:col>
      <xdr:colOff>113581</xdr:colOff>
      <xdr:row>15</xdr:row>
      <xdr:rowOff>119060</xdr:rowOff>
    </xdr:to>
    <xdr:cxnSp macro="">
      <xdr:nvCxnSpPr>
        <xdr:cNvPr id="138" name="Verbinder: gewinkelt 137">
          <a:extLst>
            <a:ext uri="{FF2B5EF4-FFF2-40B4-BE49-F238E27FC236}">
              <a16:creationId xmlns:a16="http://schemas.microsoft.com/office/drawing/2014/main" id="{664C1A24-EF26-4C9A-9B42-22EEAB701AC2}"/>
            </a:ext>
          </a:extLst>
        </xdr:cNvPr>
        <xdr:cNvCxnSpPr>
          <a:stCxn id="143" idx="2"/>
          <a:endCxn id="139" idx="1"/>
        </xdr:cNvCxnSpPr>
      </xdr:nvCxnSpPr>
      <xdr:spPr>
        <a:xfrm rot="16200000" flipH="1">
          <a:off x="8444096" y="2966489"/>
          <a:ext cx="491777" cy="340062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48</xdr:col>
      <xdr:colOff>113580</xdr:colOff>
      <xdr:row>14</xdr:row>
      <xdr:rowOff>190498</xdr:rowOff>
    </xdr:from>
    <xdr:to>
      <xdr:col>49</xdr:col>
      <xdr:colOff>163581</xdr:colOff>
      <xdr:row>16</xdr:row>
      <xdr:rowOff>47623</xdr:rowOff>
    </xdr:to>
    <xdr:pic>
      <xdr:nvPicPr>
        <xdr:cNvPr id="139" name="Bild 10" descr="http://wtchlvse071716l/SYMPHONY_Download/EXPORT0001-INSERT-PIRIOS-360-ECO-TEST/SAP_Feller/Stueckliste/website/images/generic.gif">
          <a:extLst>
            <a:ext uri="{FF2B5EF4-FFF2-40B4-BE49-F238E27FC236}">
              <a16:creationId xmlns:a16="http://schemas.microsoft.com/office/drawing/2014/main" id="{288A6EAE-33BA-44FC-9D7A-96216076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0015" y="3263346"/>
          <a:ext cx="232218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157369</xdr:colOff>
      <xdr:row>11</xdr:row>
      <xdr:rowOff>49697</xdr:rowOff>
    </xdr:from>
    <xdr:to>
      <xdr:col>47</xdr:col>
      <xdr:colOff>118536</xdr:colOff>
      <xdr:row>13</xdr:row>
      <xdr:rowOff>8284</xdr:rowOff>
    </xdr:to>
    <xdr:pic>
      <xdr:nvPicPr>
        <xdr:cNvPr id="143" name="Grafik 142">
          <a:extLst>
            <a:ext uri="{FF2B5EF4-FFF2-40B4-BE49-F238E27FC236}">
              <a16:creationId xmlns:a16="http://schemas.microsoft.com/office/drawing/2014/main" id="{02755FD2-CB15-4EA3-B5FC-D97A876F6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2" y="2360545"/>
          <a:ext cx="325601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120615</xdr:colOff>
      <xdr:row>11</xdr:row>
      <xdr:rowOff>99393</xdr:rowOff>
    </xdr:from>
    <xdr:to>
      <xdr:col>60</xdr:col>
      <xdr:colOff>82824</xdr:colOff>
      <xdr:row>12</xdr:row>
      <xdr:rowOff>140806</xdr:rowOff>
    </xdr:to>
    <xdr:sp macro="" textlink="">
      <xdr:nvSpPr>
        <xdr:cNvPr id="146" name="Textfeld 145">
          <a:extLst>
            <a:ext uri="{FF2B5EF4-FFF2-40B4-BE49-F238E27FC236}">
              <a16:creationId xmlns:a16="http://schemas.microsoft.com/office/drawing/2014/main" id="{341F33F5-B937-4ED0-B757-75607FDB6F15}"/>
            </a:ext>
          </a:extLst>
        </xdr:cNvPr>
        <xdr:cNvSpPr txBox="1"/>
      </xdr:nvSpPr>
      <xdr:spPr>
        <a:xfrm>
          <a:off x="10507006" y="2410241"/>
          <a:ext cx="508861" cy="2319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PART</a:t>
          </a:r>
        </a:p>
      </xdr:txBody>
    </xdr:sp>
    <xdr:clientData/>
  </xdr:twoCellAnchor>
  <xdr:twoCellAnchor>
    <xdr:from>
      <xdr:col>55</xdr:col>
      <xdr:colOff>113105</xdr:colOff>
      <xdr:row>12</xdr:row>
      <xdr:rowOff>182218</xdr:rowOff>
    </xdr:from>
    <xdr:to>
      <xdr:col>57</xdr:col>
      <xdr:colOff>97016</xdr:colOff>
      <xdr:row>15</xdr:row>
      <xdr:rowOff>119063</xdr:rowOff>
    </xdr:to>
    <xdr:cxnSp macro="">
      <xdr:nvCxnSpPr>
        <xdr:cNvPr id="147" name="Verbinder: gewinkelt 146">
          <a:extLst>
            <a:ext uri="{FF2B5EF4-FFF2-40B4-BE49-F238E27FC236}">
              <a16:creationId xmlns:a16="http://schemas.microsoft.com/office/drawing/2014/main" id="{3EF37942-72BA-4BEF-AE7E-C632BF14B5F3}"/>
            </a:ext>
          </a:extLst>
        </xdr:cNvPr>
        <xdr:cNvCxnSpPr>
          <a:stCxn id="149" idx="2"/>
          <a:endCxn id="148" idx="1"/>
        </xdr:cNvCxnSpPr>
      </xdr:nvCxnSpPr>
      <xdr:spPr>
        <a:xfrm rot="16200000" flipH="1">
          <a:off x="10055062" y="2954066"/>
          <a:ext cx="508345" cy="34834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57</xdr:col>
      <xdr:colOff>97016</xdr:colOff>
      <xdr:row>15</xdr:row>
      <xdr:rowOff>1</xdr:rowOff>
    </xdr:from>
    <xdr:to>
      <xdr:col>58</xdr:col>
      <xdr:colOff>147016</xdr:colOff>
      <xdr:row>16</xdr:row>
      <xdr:rowOff>47626</xdr:rowOff>
    </xdr:to>
    <xdr:pic>
      <xdr:nvPicPr>
        <xdr:cNvPr id="148" name="Bild 10" descr="http://wtchlvse071716l/SYMPHONY_Download/EXPORT0001-INSERT-PIRIOS-360-ECO-TEST/SAP_Feller/Stueckliste/website/images/generic.gif">
          <a:extLst>
            <a:ext uri="{FF2B5EF4-FFF2-40B4-BE49-F238E27FC236}">
              <a16:creationId xmlns:a16="http://schemas.microsoft.com/office/drawing/2014/main" id="{64C99BE5-3446-4D79-9A8C-223AC32591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3407" y="3263349"/>
          <a:ext cx="232218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132522</xdr:colOff>
      <xdr:row>11</xdr:row>
      <xdr:rowOff>33132</xdr:rowOff>
    </xdr:from>
    <xdr:to>
      <xdr:col>56</xdr:col>
      <xdr:colOff>93688</xdr:colOff>
      <xdr:row>12</xdr:row>
      <xdr:rowOff>182219</xdr:rowOff>
    </xdr:to>
    <xdr:pic>
      <xdr:nvPicPr>
        <xdr:cNvPr id="149" name="Grafik 148">
          <a:extLst>
            <a:ext uri="{FF2B5EF4-FFF2-40B4-BE49-F238E27FC236}">
              <a16:creationId xmlns:a16="http://schemas.microsoft.com/office/drawing/2014/main" id="{34238CF5-6E95-4961-AC30-5E79D32CB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72261" y="2343980"/>
          <a:ext cx="325601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57</xdr:col>
      <xdr:colOff>33938</xdr:colOff>
      <xdr:row>17</xdr:row>
      <xdr:rowOff>41413</xdr:rowOff>
    </xdr:from>
    <xdr:to>
      <xdr:col>59</xdr:col>
      <xdr:colOff>26870</xdr:colOff>
      <xdr:row>19</xdr:row>
      <xdr:rowOff>33131</xdr:rowOff>
    </xdr:to>
    <xdr:pic>
      <xdr:nvPicPr>
        <xdr:cNvPr id="151" name="Grafik 150">
          <a:extLst>
            <a:ext uri="{FF2B5EF4-FFF2-40B4-BE49-F238E27FC236}">
              <a16:creationId xmlns:a16="http://schemas.microsoft.com/office/drawing/2014/main" id="{D7E15EF6-FFD2-400D-8ADC-F5BDC4A7E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0329" y="3685761"/>
          <a:ext cx="357367" cy="3727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57</xdr:col>
      <xdr:colOff>33130</xdr:colOff>
      <xdr:row>19</xdr:row>
      <xdr:rowOff>140806</xdr:rowOff>
    </xdr:from>
    <xdr:to>
      <xdr:col>58</xdr:col>
      <xdr:colOff>176513</xdr:colOff>
      <xdr:row>21</xdr:row>
      <xdr:rowOff>99393</xdr:rowOff>
    </xdr:to>
    <xdr:pic>
      <xdr:nvPicPr>
        <xdr:cNvPr id="153" name="Grafik 152">
          <a:extLst>
            <a:ext uri="{FF2B5EF4-FFF2-40B4-BE49-F238E27FC236}">
              <a16:creationId xmlns:a16="http://schemas.microsoft.com/office/drawing/2014/main" id="{32BE26EB-D7DA-4D93-9C2C-20AA410A8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9521" y="4166154"/>
          <a:ext cx="325601" cy="339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175103</xdr:colOff>
      <xdr:row>22</xdr:row>
      <xdr:rowOff>24851</xdr:rowOff>
    </xdr:from>
    <xdr:to>
      <xdr:col>59</xdr:col>
      <xdr:colOff>0</xdr:colOff>
      <xdr:row>24</xdr:row>
      <xdr:rowOff>24851</xdr:rowOff>
    </xdr:to>
    <xdr:pic>
      <xdr:nvPicPr>
        <xdr:cNvPr id="155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D6A19167-77FA-44BD-AD6F-320BCC87E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9277" y="4621699"/>
          <a:ext cx="371549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113105</xdr:colOff>
      <xdr:row>12</xdr:row>
      <xdr:rowOff>182218</xdr:rowOff>
    </xdr:from>
    <xdr:to>
      <xdr:col>57</xdr:col>
      <xdr:colOff>33938</xdr:colOff>
      <xdr:row>18</xdr:row>
      <xdr:rowOff>37271</xdr:rowOff>
    </xdr:to>
    <xdr:cxnSp macro="">
      <xdr:nvCxnSpPr>
        <xdr:cNvPr id="178" name="Verbinder: gewinkelt 177">
          <a:extLst>
            <a:ext uri="{FF2B5EF4-FFF2-40B4-BE49-F238E27FC236}">
              <a16:creationId xmlns:a16="http://schemas.microsoft.com/office/drawing/2014/main" id="{BD2D4D49-C54D-4273-BA61-EA57E9B4C9B1}"/>
            </a:ext>
          </a:extLst>
        </xdr:cNvPr>
        <xdr:cNvCxnSpPr>
          <a:stCxn id="149" idx="2"/>
          <a:endCxn id="151" idx="1"/>
        </xdr:cNvCxnSpPr>
      </xdr:nvCxnSpPr>
      <xdr:spPr>
        <a:xfrm rot="16200000" flipH="1">
          <a:off x="9778669" y="3230459"/>
          <a:ext cx="998053" cy="28526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113104</xdr:colOff>
      <xdr:row>12</xdr:row>
      <xdr:rowOff>182219</xdr:rowOff>
    </xdr:from>
    <xdr:to>
      <xdr:col>56</xdr:col>
      <xdr:colOff>175102</xdr:colOff>
      <xdr:row>23</xdr:row>
      <xdr:rowOff>24851</xdr:rowOff>
    </xdr:to>
    <xdr:cxnSp macro="">
      <xdr:nvCxnSpPr>
        <xdr:cNvPr id="179" name="Verbinder: gewinkelt 178">
          <a:extLst>
            <a:ext uri="{FF2B5EF4-FFF2-40B4-BE49-F238E27FC236}">
              <a16:creationId xmlns:a16="http://schemas.microsoft.com/office/drawing/2014/main" id="{16C453EE-7F4C-4A8A-86A2-ED9F66FFA903}"/>
            </a:ext>
          </a:extLst>
        </xdr:cNvPr>
        <xdr:cNvCxnSpPr>
          <a:stCxn id="149" idx="2"/>
          <a:endCxn id="155" idx="1"/>
        </xdr:cNvCxnSpPr>
      </xdr:nvCxnSpPr>
      <xdr:spPr>
        <a:xfrm rot="16200000" flipH="1">
          <a:off x="9288103" y="3721025"/>
          <a:ext cx="1938132" cy="24421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113105</xdr:colOff>
      <xdr:row>12</xdr:row>
      <xdr:rowOff>182218</xdr:rowOff>
    </xdr:from>
    <xdr:to>
      <xdr:col>57</xdr:col>
      <xdr:colOff>33130</xdr:colOff>
      <xdr:row>20</xdr:row>
      <xdr:rowOff>120099</xdr:rowOff>
    </xdr:to>
    <xdr:cxnSp macro="">
      <xdr:nvCxnSpPr>
        <xdr:cNvPr id="184" name="Verbinder: gewinkelt 183">
          <a:extLst>
            <a:ext uri="{FF2B5EF4-FFF2-40B4-BE49-F238E27FC236}">
              <a16:creationId xmlns:a16="http://schemas.microsoft.com/office/drawing/2014/main" id="{5751512E-A680-4BC6-B535-4149F175684E}"/>
            </a:ext>
          </a:extLst>
        </xdr:cNvPr>
        <xdr:cNvCxnSpPr>
          <a:stCxn id="149" idx="2"/>
          <a:endCxn id="153" idx="1"/>
        </xdr:cNvCxnSpPr>
      </xdr:nvCxnSpPr>
      <xdr:spPr>
        <a:xfrm rot="16200000" flipH="1">
          <a:off x="9546351" y="3462777"/>
          <a:ext cx="1461881" cy="28445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57979</xdr:colOff>
      <xdr:row>20</xdr:row>
      <xdr:rowOff>16567</xdr:rowOff>
    </xdr:from>
    <xdr:to>
      <xdr:col>16</xdr:col>
      <xdr:colOff>74544</xdr:colOff>
      <xdr:row>22</xdr:row>
      <xdr:rowOff>16567</xdr:rowOff>
    </xdr:to>
    <xdr:pic>
      <xdr:nvPicPr>
        <xdr:cNvPr id="190" name="Picture 160" descr="http://wtchlvse071716l/SYMPHONY_Download/EXPORT0001-INSERT-PIRIOS-360-ECO-TEST/SAP_Feller/Stueckliste/website/images/internalpart.gif">
          <a:extLst>
            <a:ext uri="{FF2B5EF4-FFF2-40B4-BE49-F238E27FC236}">
              <a16:creationId xmlns:a16="http://schemas.microsoft.com/office/drawing/2014/main" id="{B3EA7B50-3396-4BB0-A366-EDE27D646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9022" y="423241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74544</xdr:colOff>
      <xdr:row>9</xdr:row>
      <xdr:rowOff>82827</xdr:rowOff>
    </xdr:from>
    <xdr:to>
      <xdr:col>14</xdr:col>
      <xdr:colOff>57979</xdr:colOff>
      <xdr:row>21</xdr:row>
      <xdr:rowOff>16566</xdr:rowOff>
    </xdr:to>
    <xdr:cxnSp macro="">
      <xdr:nvCxnSpPr>
        <xdr:cNvPr id="191" name="Verbinder: gewinkelt 190">
          <a:extLst>
            <a:ext uri="{FF2B5EF4-FFF2-40B4-BE49-F238E27FC236}">
              <a16:creationId xmlns:a16="http://schemas.microsoft.com/office/drawing/2014/main" id="{155621AE-2439-4E74-85E1-57D02B7CC3D3}"/>
            </a:ext>
          </a:extLst>
        </xdr:cNvPr>
        <xdr:cNvCxnSpPr>
          <a:stCxn id="76" idx="2"/>
          <a:endCxn id="190" idx="1"/>
        </xdr:cNvCxnSpPr>
      </xdr:nvCxnSpPr>
      <xdr:spPr>
        <a:xfrm rot="16200000" flipH="1">
          <a:off x="1325218" y="3139110"/>
          <a:ext cx="2219739" cy="34786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33131</xdr:colOff>
      <xdr:row>19</xdr:row>
      <xdr:rowOff>107674</xdr:rowOff>
    </xdr:from>
    <xdr:to>
      <xdr:col>16</xdr:col>
      <xdr:colOff>173935</xdr:colOff>
      <xdr:row>22</xdr:row>
      <xdr:rowOff>124239</xdr:rowOff>
    </xdr:to>
    <xdr:sp macro="" textlink="">
      <xdr:nvSpPr>
        <xdr:cNvPr id="194" name="Ellipse 193">
          <a:extLst>
            <a:ext uri="{FF2B5EF4-FFF2-40B4-BE49-F238E27FC236}">
              <a16:creationId xmlns:a16="http://schemas.microsoft.com/office/drawing/2014/main" id="{C7D06243-E91D-4325-B3D1-873CB44A0738}"/>
            </a:ext>
          </a:extLst>
        </xdr:cNvPr>
        <xdr:cNvSpPr/>
      </xdr:nvSpPr>
      <xdr:spPr>
        <a:xfrm>
          <a:off x="2401957" y="4133022"/>
          <a:ext cx="687456" cy="588065"/>
        </a:xfrm>
        <a:prstGeom prst="ellipse">
          <a:avLst/>
        </a:prstGeom>
        <a:noFill/>
        <a:ln>
          <a:solidFill>
            <a:srgbClr val="DC3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DE" sz="1200" b="0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48</xdr:col>
      <xdr:colOff>0</xdr:colOff>
      <xdr:row>14</xdr:row>
      <xdr:rowOff>66260</xdr:rowOff>
    </xdr:from>
    <xdr:to>
      <xdr:col>51</xdr:col>
      <xdr:colOff>16565</xdr:colOff>
      <xdr:row>17</xdr:row>
      <xdr:rowOff>16565</xdr:rowOff>
    </xdr:to>
    <xdr:sp macro="" textlink="">
      <xdr:nvSpPr>
        <xdr:cNvPr id="195" name="Ellipse 194">
          <a:extLst>
            <a:ext uri="{FF2B5EF4-FFF2-40B4-BE49-F238E27FC236}">
              <a16:creationId xmlns:a16="http://schemas.microsoft.com/office/drawing/2014/main" id="{D2AF1F11-D61F-4D33-989E-B1FFB459C425}"/>
            </a:ext>
          </a:extLst>
        </xdr:cNvPr>
        <xdr:cNvSpPr/>
      </xdr:nvSpPr>
      <xdr:spPr>
        <a:xfrm>
          <a:off x="8746435" y="3139108"/>
          <a:ext cx="563217" cy="521805"/>
        </a:xfrm>
        <a:prstGeom prst="ellipse">
          <a:avLst/>
        </a:prstGeom>
        <a:noFill/>
        <a:ln>
          <a:solidFill>
            <a:srgbClr val="DC3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DE" sz="1200" b="0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56</xdr:col>
      <xdr:colOff>107674</xdr:colOff>
      <xdr:row>14</xdr:row>
      <xdr:rowOff>33130</xdr:rowOff>
    </xdr:from>
    <xdr:to>
      <xdr:col>59</xdr:col>
      <xdr:colOff>124239</xdr:colOff>
      <xdr:row>16</xdr:row>
      <xdr:rowOff>165652</xdr:rowOff>
    </xdr:to>
    <xdr:sp macro="" textlink="">
      <xdr:nvSpPr>
        <xdr:cNvPr id="196" name="Ellipse 195">
          <a:extLst>
            <a:ext uri="{FF2B5EF4-FFF2-40B4-BE49-F238E27FC236}">
              <a16:creationId xmlns:a16="http://schemas.microsoft.com/office/drawing/2014/main" id="{7C0B003C-88E5-4295-87F1-364949FB10A4}"/>
            </a:ext>
          </a:extLst>
        </xdr:cNvPr>
        <xdr:cNvSpPr/>
      </xdr:nvSpPr>
      <xdr:spPr>
        <a:xfrm>
          <a:off x="10311848" y="3105978"/>
          <a:ext cx="563217" cy="513522"/>
        </a:xfrm>
        <a:prstGeom prst="ellipse">
          <a:avLst/>
        </a:prstGeom>
        <a:noFill/>
        <a:ln>
          <a:solidFill>
            <a:srgbClr val="DC3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DE" sz="1200" b="0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56</xdr:col>
      <xdr:colOff>57978</xdr:colOff>
      <xdr:row>21</xdr:row>
      <xdr:rowOff>115957</xdr:rowOff>
    </xdr:from>
    <xdr:to>
      <xdr:col>59</xdr:col>
      <xdr:colOff>124239</xdr:colOff>
      <xdr:row>24</xdr:row>
      <xdr:rowOff>124238</xdr:rowOff>
    </xdr:to>
    <xdr:sp macro="" textlink="">
      <xdr:nvSpPr>
        <xdr:cNvPr id="197" name="Ellipse 196">
          <a:extLst>
            <a:ext uri="{FF2B5EF4-FFF2-40B4-BE49-F238E27FC236}">
              <a16:creationId xmlns:a16="http://schemas.microsoft.com/office/drawing/2014/main" id="{5915AB9F-BD0A-4E5D-9CFD-934EDB0E0761}"/>
            </a:ext>
          </a:extLst>
        </xdr:cNvPr>
        <xdr:cNvSpPr/>
      </xdr:nvSpPr>
      <xdr:spPr>
        <a:xfrm>
          <a:off x="10262152" y="4522305"/>
          <a:ext cx="612913" cy="579781"/>
        </a:xfrm>
        <a:prstGeom prst="ellipse">
          <a:avLst/>
        </a:prstGeom>
        <a:noFill/>
        <a:ln>
          <a:solidFill>
            <a:srgbClr val="DC3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DE" sz="1200" b="0" i="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126188</xdr:colOff>
      <xdr:row>1</xdr:row>
      <xdr:rowOff>53612</xdr:rowOff>
    </xdr:from>
    <xdr:to>
      <xdr:col>58</xdr:col>
      <xdr:colOff>91588</xdr:colOff>
      <xdr:row>1</xdr:row>
      <xdr:rowOff>266972</xdr:rowOff>
    </xdr:to>
    <xdr:sp macro="[0]!OpenExplorer_on_Full_Path" textlink="">
      <xdr:nvSpPr>
        <xdr:cNvPr id="3" name="Rechteck 54">
          <a:extLst>
            <a:ext uri="{FF2B5EF4-FFF2-40B4-BE49-F238E27FC236}">
              <a16:creationId xmlns:a16="http://schemas.microsoft.com/office/drawing/2014/main" id="{49CCE7E0-F9AF-4C98-975A-B6648EF635EA}"/>
            </a:ext>
          </a:extLst>
        </xdr:cNvPr>
        <xdr:cNvSpPr/>
      </xdr:nvSpPr>
      <xdr:spPr>
        <a:xfrm>
          <a:off x="8632013" y="425087"/>
          <a:ext cx="195612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99391</xdr:colOff>
      <xdr:row>1</xdr:row>
      <xdr:rowOff>51936</xdr:rowOff>
    </xdr:from>
    <xdr:to>
      <xdr:col>47</xdr:col>
      <xdr:colOff>62622</xdr:colOff>
      <xdr:row>1</xdr:row>
      <xdr:rowOff>265296</xdr:rowOff>
    </xdr:to>
    <xdr:sp macro="[0]!OpenNotepad_PP_On_Full_Path" textlink="">
      <xdr:nvSpPr>
        <xdr:cNvPr id="4" name="Rechteck 55">
          <a:extLst>
            <a:ext uri="{FF2B5EF4-FFF2-40B4-BE49-F238E27FC236}">
              <a16:creationId xmlns:a16="http://schemas.microsoft.com/office/drawing/2014/main" id="{B470258D-794A-44F3-B0EB-E1C49BCE2792}"/>
            </a:ext>
          </a:extLst>
        </xdr:cNvPr>
        <xdr:cNvSpPr/>
      </xdr:nvSpPr>
      <xdr:spPr>
        <a:xfrm>
          <a:off x="6614491" y="423411"/>
          <a:ext cx="195395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47</xdr:col>
      <xdr:colOff>154445</xdr:colOff>
      <xdr:row>1</xdr:row>
      <xdr:rowOff>308697</xdr:rowOff>
    </xdr:from>
    <xdr:to>
      <xdr:col>58</xdr:col>
      <xdr:colOff>109904</xdr:colOff>
      <xdr:row>1</xdr:row>
      <xdr:rowOff>556846</xdr:rowOff>
    </xdr:to>
    <xdr:sp macro="[0]!OpenExplorer_on_Relative_Path" textlink="">
      <xdr:nvSpPr>
        <xdr:cNvPr id="5" name="Rechteck 56">
          <a:extLst>
            <a:ext uri="{FF2B5EF4-FFF2-40B4-BE49-F238E27FC236}">
              <a16:creationId xmlns:a16="http://schemas.microsoft.com/office/drawing/2014/main" id="{B3FC8767-87EB-457F-A90C-4A6C11C867EA}"/>
            </a:ext>
          </a:extLst>
        </xdr:cNvPr>
        <xdr:cNvSpPr/>
      </xdr:nvSpPr>
      <xdr:spPr>
        <a:xfrm>
          <a:off x="8660270" y="680172"/>
          <a:ext cx="1946184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58</xdr:col>
      <xdr:colOff>181464</xdr:colOff>
      <xdr:row>1</xdr:row>
      <xdr:rowOff>43654</xdr:rowOff>
    </xdr:from>
    <xdr:to>
      <xdr:col>71</xdr:col>
      <xdr:colOff>135660</xdr:colOff>
      <xdr:row>1</xdr:row>
      <xdr:rowOff>257014</xdr:rowOff>
    </xdr:to>
    <xdr:sp macro="[0]!OpenNotepad_on_Full_Path" textlink="">
      <xdr:nvSpPr>
        <xdr:cNvPr id="6" name="Rechteck 57">
          <a:extLst>
            <a:ext uri="{FF2B5EF4-FFF2-40B4-BE49-F238E27FC236}">
              <a16:creationId xmlns:a16="http://schemas.microsoft.com/office/drawing/2014/main" id="{3AEAE7CE-C25F-4836-A981-183DADFB39CB}"/>
            </a:ext>
          </a:extLst>
        </xdr:cNvPr>
        <xdr:cNvSpPr/>
      </xdr:nvSpPr>
      <xdr:spPr>
        <a:xfrm>
          <a:off x="10678014" y="415129"/>
          <a:ext cx="230687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72</xdr:col>
      <xdr:colOff>60151</xdr:colOff>
      <xdr:row>1</xdr:row>
      <xdr:rowOff>310354</xdr:rowOff>
    </xdr:from>
    <xdr:to>
      <xdr:col>83</xdr:col>
      <xdr:colOff>20459</xdr:colOff>
      <xdr:row>1</xdr:row>
      <xdr:rowOff>523714</xdr:rowOff>
    </xdr:to>
    <xdr:sp macro="[0]!OpenSQLite_On_Relative_Path" textlink="">
      <xdr:nvSpPr>
        <xdr:cNvPr id="7" name="Rechteck 58">
          <a:extLst>
            <a:ext uri="{FF2B5EF4-FFF2-40B4-BE49-F238E27FC236}">
              <a16:creationId xmlns:a16="http://schemas.microsoft.com/office/drawing/2014/main" id="{6C6827F4-DE32-4B3D-9BF3-9F4101F00D7B}"/>
            </a:ext>
          </a:extLst>
        </xdr:cNvPr>
        <xdr:cNvSpPr/>
      </xdr:nvSpPr>
      <xdr:spPr>
        <a:xfrm>
          <a:off x="13090351" y="681829"/>
          <a:ext cx="1951033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72</xdr:col>
      <xdr:colOff>48945</xdr:colOff>
      <xdr:row>1</xdr:row>
      <xdr:rowOff>41413</xdr:rowOff>
    </xdr:from>
    <xdr:to>
      <xdr:col>83</xdr:col>
      <xdr:colOff>9253</xdr:colOff>
      <xdr:row>1</xdr:row>
      <xdr:rowOff>254773</xdr:rowOff>
    </xdr:to>
    <xdr:sp macro="[0]!OpenSQLite_On_Full_Path" textlink="">
      <xdr:nvSpPr>
        <xdr:cNvPr id="8" name="Rechteck 59">
          <a:extLst>
            <a:ext uri="{FF2B5EF4-FFF2-40B4-BE49-F238E27FC236}">
              <a16:creationId xmlns:a16="http://schemas.microsoft.com/office/drawing/2014/main" id="{69798300-5BF0-4B66-85B3-371D0B7CBF64}"/>
            </a:ext>
          </a:extLst>
        </xdr:cNvPr>
        <xdr:cNvSpPr/>
      </xdr:nvSpPr>
      <xdr:spPr>
        <a:xfrm>
          <a:off x="13079145" y="412888"/>
          <a:ext cx="1951033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36</xdr:col>
      <xdr:colOff>110597</xdr:colOff>
      <xdr:row>1</xdr:row>
      <xdr:rowOff>320877</xdr:rowOff>
    </xdr:from>
    <xdr:to>
      <xdr:col>47</xdr:col>
      <xdr:colOff>73828</xdr:colOff>
      <xdr:row>1</xdr:row>
      <xdr:rowOff>534237</xdr:rowOff>
    </xdr:to>
    <xdr:sp macro="[0]!OpenNotepad_PP_on_Relative_Path" textlink="">
      <xdr:nvSpPr>
        <xdr:cNvPr id="9" name="Rechteck 159">
          <a:extLst>
            <a:ext uri="{FF2B5EF4-FFF2-40B4-BE49-F238E27FC236}">
              <a16:creationId xmlns:a16="http://schemas.microsoft.com/office/drawing/2014/main" id="{92F47E87-D994-47AD-A299-4CE710D28E5E}"/>
            </a:ext>
          </a:extLst>
        </xdr:cNvPr>
        <xdr:cNvSpPr/>
      </xdr:nvSpPr>
      <xdr:spPr>
        <a:xfrm>
          <a:off x="6625697" y="692352"/>
          <a:ext cx="195395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122464</xdr:colOff>
      <xdr:row>14</xdr:row>
      <xdr:rowOff>86446</xdr:rowOff>
    </xdr:from>
    <xdr:to>
      <xdr:col>39</xdr:col>
      <xdr:colOff>2401</xdr:colOff>
      <xdr:row>15</xdr:row>
      <xdr:rowOff>34919</xdr:rowOff>
    </xdr:to>
    <xdr:cxnSp macro="">
      <xdr:nvCxnSpPr>
        <xdr:cNvPr id="19" name="Gewinkelte Verbindung 19">
          <a:extLst>
            <a:ext uri="{FF2B5EF4-FFF2-40B4-BE49-F238E27FC236}">
              <a16:creationId xmlns:a16="http://schemas.microsoft.com/office/drawing/2014/main" id="{BC2C8A37-F80B-47A2-A0FF-8828EDAC0F47}"/>
            </a:ext>
          </a:extLst>
        </xdr:cNvPr>
        <xdr:cNvCxnSpPr>
          <a:cxnSpLocks/>
          <a:stCxn id="35" idx="3"/>
          <a:endCxn id="61" idx="1"/>
        </xdr:cNvCxnSpPr>
      </xdr:nvCxnSpPr>
      <xdr:spPr>
        <a:xfrm>
          <a:off x="4014107" y="3964482"/>
          <a:ext cx="2887115" cy="13897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179293</xdr:colOff>
      <xdr:row>13</xdr:row>
      <xdr:rowOff>125867</xdr:rowOff>
    </xdr:from>
    <xdr:to>
      <xdr:col>59</xdr:col>
      <xdr:colOff>134471</xdr:colOff>
      <xdr:row>16</xdr:row>
      <xdr:rowOff>134470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CBB7AFF7-C9EE-46AD-A6AD-EDEC7DF85C13}"/>
            </a:ext>
          </a:extLst>
        </xdr:cNvPr>
        <xdr:cNvSpPr/>
      </xdr:nvSpPr>
      <xdr:spPr>
        <a:xfrm>
          <a:off x="6992469" y="3812602"/>
          <a:ext cx="3720355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25611</xdr:colOff>
      <xdr:row>33</xdr:row>
      <xdr:rowOff>4800</xdr:rowOff>
    </xdr:from>
    <xdr:to>
      <xdr:col>23</xdr:col>
      <xdr:colOff>112058</xdr:colOff>
      <xdr:row>36</xdr:row>
      <xdr:rowOff>148875</xdr:rowOff>
    </xdr:to>
    <xdr:sp macro="" textlink="">
      <xdr:nvSpPr>
        <xdr:cNvPr id="29" name="Rechteck 60">
          <a:extLst>
            <a:ext uri="{FF2B5EF4-FFF2-40B4-BE49-F238E27FC236}">
              <a16:creationId xmlns:a16="http://schemas.microsoft.com/office/drawing/2014/main" id="{94737A96-7480-45AB-A525-09B191E32E5D}"/>
            </a:ext>
          </a:extLst>
        </xdr:cNvPr>
        <xdr:cNvSpPr/>
      </xdr:nvSpPr>
      <xdr:spPr>
        <a:xfrm>
          <a:off x="1086968" y="7502336"/>
          <a:ext cx="3093626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MountingFrame_WORLD.csv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80</xdr:col>
      <xdr:colOff>11206</xdr:colOff>
      <xdr:row>32</xdr:row>
      <xdr:rowOff>184095</xdr:rowOff>
    </xdr:from>
    <xdr:to>
      <xdr:col>97</xdr:col>
      <xdr:colOff>89648</xdr:colOff>
      <xdr:row>36</xdr:row>
      <xdr:rowOff>137670</xdr:rowOff>
    </xdr:to>
    <xdr:sp macro="" textlink="">
      <xdr:nvSpPr>
        <xdr:cNvPr id="31" name="Rechteck 60">
          <a:extLst>
            <a:ext uri="{FF2B5EF4-FFF2-40B4-BE49-F238E27FC236}">
              <a16:creationId xmlns:a16="http://schemas.microsoft.com/office/drawing/2014/main" id="{AC3C0B57-458E-47C3-9E9D-DD913A6E2C51}"/>
            </a:ext>
          </a:extLst>
        </xdr:cNvPr>
        <xdr:cNvSpPr/>
      </xdr:nvSpPr>
      <xdr:spPr>
        <a:xfrm>
          <a:off x="14162635" y="7491131"/>
          <a:ext cx="3466620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MountingFrame_TRANS_WORLD.csv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82</xdr:col>
      <xdr:colOff>119260</xdr:colOff>
      <xdr:row>17</xdr:row>
      <xdr:rowOff>172092</xdr:rowOff>
    </xdr:from>
    <xdr:to>
      <xdr:col>97</xdr:col>
      <xdr:colOff>93649</xdr:colOff>
      <xdr:row>21</xdr:row>
      <xdr:rowOff>125667</xdr:rowOff>
    </xdr:to>
    <xdr:sp macro="" textlink="">
      <xdr:nvSpPr>
        <xdr:cNvPr id="32" name="Rechteck 60">
          <a:extLst>
            <a:ext uri="{FF2B5EF4-FFF2-40B4-BE49-F238E27FC236}">
              <a16:creationId xmlns:a16="http://schemas.microsoft.com/office/drawing/2014/main" id="{A256DF8B-31C1-43EE-9339-AFFC3E471549}"/>
            </a:ext>
          </a:extLst>
        </xdr:cNvPr>
        <xdr:cNvSpPr/>
      </xdr:nvSpPr>
      <xdr:spPr>
        <a:xfrm>
          <a:off x="14624474" y="4621628"/>
          <a:ext cx="3008782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70435</xdr:colOff>
      <xdr:row>37</xdr:row>
      <xdr:rowOff>172888</xdr:rowOff>
    </xdr:from>
    <xdr:to>
      <xdr:col>23</xdr:col>
      <xdr:colOff>156882</xdr:colOff>
      <xdr:row>41</xdr:row>
      <xdr:rowOff>126463</xdr:rowOff>
    </xdr:to>
    <xdr:sp macro="" textlink="">
      <xdr:nvSpPr>
        <xdr:cNvPr id="33" name="Rechteck 60">
          <a:extLst>
            <a:ext uri="{FF2B5EF4-FFF2-40B4-BE49-F238E27FC236}">
              <a16:creationId xmlns:a16="http://schemas.microsoft.com/office/drawing/2014/main" id="{DC6D370C-DDC6-4F0A-B4AB-57EFA6392D75}"/>
            </a:ext>
          </a:extLst>
        </xdr:cNvPr>
        <xdr:cNvSpPr/>
      </xdr:nvSpPr>
      <xdr:spPr>
        <a:xfrm>
          <a:off x="1131792" y="8432424"/>
          <a:ext cx="3093626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LED_WORLD.csv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171289</xdr:colOff>
      <xdr:row>28</xdr:row>
      <xdr:rowOff>72036</xdr:rowOff>
    </xdr:from>
    <xdr:to>
      <xdr:col>23</xdr:col>
      <xdr:colOff>78442</xdr:colOff>
      <xdr:row>32</xdr:row>
      <xdr:rowOff>25611</xdr:rowOff>
    </xdr:to>
    <xdr:sp macro="" textlink="">
      <xdr:nvSpPr>
        <xdr:cNvPr id="34" name="Rechteck 60">
          <a:extLst>
            <a:ext uri="{FF2B5EF4-FFF2-40B4-BE49-F238E27FC236}">
              <a16:creationId xmlns:a16="http://schemas.microsoft.com/office/drawing/2014/main" id="{A68926F1-FBDF-4144-A71D-D36F3CEA7277}"/>
            </a:ext>
          </a:extLst>
        </xdr:cNvPr>
        <xdr:cNvSpPr/>
      </xdr:nvSpPr>
      <xdr:spPr>
        <a:xfrm>
          <a:off x="1055753" y="6617072"/>
          <a:ext cx="3091225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37617</xdr:colOff>
      <xdr:row>12</xdr:row>
      <xdr:rowOff>109658</xdr:rowOff>
    </xdr:from>
    <xdr:to>
      <xdr:col>22</xdr:col>
      <xdr:colOff>122464</xdr:colOff>
      <xdr:row>16</xdr:row>
      <xdr:rowOff>63233</xdr:rowOff>
    </xdr:to>
    <xdr:sp macro="" textlink="">
      <xdr:nvSpPr>
        <xdr:cNvPr id="35" name="Rechteck 60">
          <a:extLst>
            <a:ext uri="{FF2B5EF4-FFF2-40B4-BE49-F238E27FC236}">
              <a16:creationId xmlns:a16="http://schemas.microsoft.com/office/drawing/2014/main" id="{A1741A00-EBFC-4152-834E-0465FB51A82E}"/>
            </a:ext>
          </a:extLst>
        </xdr:cNvPr>
        <xdr:cNvSpPr/>
      </xdr:nvSpPr>
      <xdr:spPr>
        <a:xfrm>
          <a:off x="1098974" y="3606694"/>
          <a:ext cx="2915133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%ROOT%\%USER1%\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59</xdr:col>
      <xdr:colOff>134471</xdr:colOff>
      <xdr:row>15</xdr:row>
      <xdr:rowOff>34919</xdr:rowOff>
    </xdr:from>
    <xdr:to>
      <xdr:col>82</xdr:col>
      <xdr:colOff>119260</xdr:colOff>
      <xdr:row>19</xdr:row>
      <xdr:rowOff>148880</xdr:rowOff>
    </xdr:to>
    <xdr:cxnSp macro="">
      <xdr:nvCxnSpPr>
        <xdr:cNvPr id="39" name="Gewinkelte Verbindung 19">
          <a:extLst>
            <a:ext uri="{FF2B5EF4-FFF2-40B4-BE49-F238E27FC236}">
              <a16:creationId xmlns:a16="http://schemas.microsoft.com/office/drawing/2014/main" id="{4A78F3E4-D557-46B4-B893-2AEEB8444FB8}"/>
            </a:ext>
          </a:extLst>
        </xdr:cNvPr>
        <xdr:cNvCxnSpPr>
          <a:cxnSpLocks/>
          <a:stCxn id="61" idx="3"/>
          <a:endCxn id="32" idx="1"/>
        </xdr:cNvCxnSpPr>
      </xdr:nvCxnSpPr>
      <xdr:spPr>
        <a:xfrm>
          <a:off x="10571150" y="4103455"/>
          <a:ext cx="4053324" cy="87596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124867</xdr:colOff>
      <xdr:row>21</xdr:row>
      <xdr:rowOff>125667</xdr:rowOff>
    </xdr:from>
    <xdr:to>
      <xdr:col>90</xdr:col>
      <xdr:colOff>18009</xdr:colOff>
      <xdr:row>28</xdr:row>
      <xdr:rowOff>72036</xdr:rowOff>
    </xdr:to>
    <xdr:cxnSp macro="">
      <xdr:nvCxnSpPr>
        <xdr:cNvPr id="42" name="Gewinkelte Verbindung 19">
          <a:extLst>
            <a:ext uri="{FF2B5EF4-FFF2-40B4-BE49-F238E27FC236}">
              <a16:creationId xmlns:a16="http://schemas.microsoft.com/office/drawing/2014/main" id="{6223D2DF-5C8A-463A-AC09-2CC2625261CB}"/>
            </a:ext>
          </a:extLst>
        </xdr:cNvPr>
        <xdr:cNvCxnSpPr>
          <a:cxnSpLocks/>
          <a:stCxn id="32" idx="2"/>
          <a:endCxn id="34" idx="0"/>
        </xdr:cNvCxnSpPr>
      </xdr:nvCxnSpPr>
      <xdr:spPr>
        <a:xfrm rot="5400000">
          <a:off x="8725182" y="-786612"/>
          <a:ext cx="1279869" cy="1352749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22410</xdr:colOff>
      <xdr:row>35</xdr:row>
      <xdr:rowOff>141871</xdr:rowOff>
    </xdr:from>
    <xdr:to>
      <xdr:col>61</xdr:col>
      <xdr:colOff>156883</xdr:colOff>
      <xdr:row>38</xdr:row>
      <xdr:rowOff>150474</xdr:rowOff>
    </xdr:to>
    <xdr:sp macro="" textlink="">
      <xdr:nvSpPr>
        <xdr:cNvPr id="47" name="Rechteck 60">
          <a:extLst>
            <a:ext uri="{FF2B5EF4-FFF2-40B4-BE49-F238E27FC236}">
              <a16:creationId xmlns:a16="http://schemas.microsoft.com/office/drawing/2014/main" id="{AC2BB80D-F503-4039-A3E1-9F1FB4288DE1}"/>
            </a:ext>
          </a:extLst>
        </xdr:cNvPr>
        <xdr:cNvSpPr/>
      </xdr:nvSpPr>
      <xdr:spPr>
        <a:xfrm>
          <a:off x="7275017" y="8020407"/>
          <a:ext cx="3672330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Transformations.py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80</xdr:col>
      <xdr:colOff>1</xdr:colOff>
      <xdr:row>38</xdr:row>
      <xdr:rowOff>172889</xdr:rowOff>
    </xdr:from>
    <xdr:to>
      <xdr:col>97</xdr:col>
      <xdr:colOff>179296</xdr:colOff>
      <xdr:row>42</xdr:row>
      <xdr:rowOff>126464</xdr:rowOff>
    </xdr:to>
    <xdr:sp macro="" textlink="">
      <xdr:nvSpPr>
        <xdr:cNvPr id="48" name="Rechteck 60">
          <a:extLst>
            <a:ext uri="{FF2B5EF4-FFF2-40B4-BE49-F238E27FC236}">
              <a16:creationId xmlns:a16="http://schemas.microsoft.com/office/drawing/2014/main" id="{ABF7BEA9-17F4-4B83-B171-07D629BF025E}"/>
            </a:ext>
          </a:extLst>
        </xdr:cNvPr>
        <xdr:cNvSpPr/>
      </xdr:nvSpPr>
      <xdr:spPr>
        <a:xfrm>
          <a:off x="14151430" y="8622925"/>
          <a:ext cx="356747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LED_TRANS_WORLD.csv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112058</xdr:colOff>
      <xdr:row>34</xdr:row>
      <xdr:rowOff>172088</xdr:rowOff>
    </xdr:from>
    <xdr:to>
      <xdr:col>41</xdr:col>
      <xdr:colOff>22410</xdr:colOff>
      <xdr:row>37</xdr:row>
      <xdr:rowOff>50923</xdr:rowOff>
    </xdr:to>
    <xdr:cxnSp macro="">
      <xdr:nvCxnSpPr>
        <xdr:cNvPr id="49" name="Gewinkelte Verbindung 19">
          <a:extLst>
            <a:ext uri="{FF2B5EF4-FFF2-40B4-BE49-F238E27FC236}">
              <a16:creationId xmlns:a16="http://schemas.microsoft.com/office/drawing/2014/main" id="{54F63E4E-A39A-4781-B799-5503FE4D1CB4}"/>
            </a:ext>
          </a:extLst>
        </xdr:cNvPr>
        <xdr:cNvCxnSpPr>
          <a:cxnSpLocks/>
          <a:stCxn id="29" idx="3"/>
          <a:endCxn id="47" idx="1"/>
        </xdr:cNvCxnSpPr>
      </xdr:nvCxnSpPr>
      <xdr:spPr>
        <a:xfrm>
          <a:off x="4180594" y="7860124"/>
          <a:ext cx="3094423" cy="45033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156882</xdr:colOff>
      <xdr:row>37</xdr:row>
      <xdr:rowOff>50923</xdr:rowOff>
    </xdr:from>
    <xdr:to>
      <xdr:col>41</xdr:col>
      <xdr:colOff>22410</xdr:colOff>
      <xdr:row>39</xdr:row>
      <xdr:rowOff>149676</xdr:rowOff>
    </xdr:to>
    <xdr:cxnSp macro="">
      <xdr:nvCxnSpPr>
        <xdr:cNvPr id="52" name="Gewinkelte Verbindung 19">
          <a:extLst>
            <a:ext uri="{FF2B5EF4-FFF2-40B4-BE49-F238E27FC236}">
              <a16:creationId xmlns:a16="http://schemas.microsoft.com/office/drawing/2014/main" id="{84137361-5741-43F3-B9E1-353B46861C39}"/>
            </a:ext>
          </a:extLst>
        </xdr:cNvPr>
        <xdr:cNvCxnSpPr>
          <a:cxnSpLocks/>
          <a:stCxn id="33" idx="3"/>
          <a:endCxn id="47" idx="1"/>
        </xdr:cNvCxnSpPr>
      </xdr:nvCxnSpPr>
      <xdr:spPr>
        <a:xfrm flipV="1">
          <a:off x="4225418" y="8310459"/>
          <a:ext cx="3049599" cy="47975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156883</xdr:colOff>
      <xdr:row>37</xdr:row>
      <xdr:rowOff>50923</xdr:rowOff>
    </xdr:from>
    <xdr:to>
      <xdr:col>80</xdr:col>
      <xdr:colOff>1</xdr:colOff>
      <xdr:row>40</xdr:row>
      <xdr:rowOff>149677</xdr:rowOff>
    </xdr:to>
    <xdr:cxnSp macro="">
      <xdr:nvCxnSpPr>
        <xdr:cNvPr id="55" name="Gewinkelte Verbindung 19">
          <a:extLst>
            <a:ext uri="{FF2B5EF4-FFF2-40B4-BE49-F238E27FC236}">
              <a16:creationId xmlns:a16="http://schemas.microsoft.com/office/drawing/2014/main" id="{B50F17F4-EDE0-41AF-9FF3-4944AA05BA6D}"/>
            </a:ext>
          </a:extLst>
        </xdr:cNvPr>
        <xdr:cNvCxnSpPr>
          <a:cxnSpLocks/>
          <a:stCxn id="47" idx="3"/>
          <a:endCxn id="48" idx="1"/>
        </xdr:cNvCxnSpPr>
      </xdr:nvCxnSpPr>
      <xdr:spPr>
        <a:xfrm>
          <a:off x="10947347" y="8310459"/>
          <a:ext cx="3204083" cy="67025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156883</xdr:colOff>
      <xdr:row>34</xdr:row>
      <xdr:rowOff>160883</xdr:rowOff>
    </xdr:from>
    <xdr:to>
      <xdr:col>80</xdr:col>
      <xdr:colOff>11206</xdr:colOff>
      <xdr:row>37</xdr:row>
      <xdr:rowOff>50923</xdr:rowOff>
    </xdr:to>
    <xdr:cxnSp macro="">
      <xdr:nvCxnSpPr>
        <xdr:cNvPr id="58" name="Gewinkelte Verbindung 19">
          <a:extLst>
            <a:ext uri="{FF2B5EF4-FFF2-40B4-BE49-F238E27FC236}">
              <a16:creationId xmlns:a16="http://schemas.microsoft.com/office/drawing/2014/main" id="{5F3CB08B-8C85-452E-8D8A-422B74BC2FED}"/>
            </a:ext>
          </a:extLst>
        </xdr:cNvPr>
        <xdr:cNvCxnSpPr>
          <a:cxnSpLocks/>
          <a:stCxn id="47" idx="3"/>
          <a:endCxn id="31" idx="1"/>
        </xdr:cNvCxnSpPr>
      </xdr:nvCxnSpPr>
      <xdr:spPr>
        <a:xfrm flipV="1">
          <a:off x="10947347" y="7848919"/>
          <a:ext cx="3215288" cy="4615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68437</xdr:colOff>
      <xdr:row>16</xdr:row>
      <xdr:rowOff>134469</xdr:rowOff>
    </xdr:from>
    <xdr:to>
      <xdr:col>51</xdr:col>
      <xdr:colOff>89647</xdr:colOff>
      <xdr:row>35</xdr:row>
      <xdr:rowOff>141870</xdr:rowOff>
    </xdr:to>
    <xdr:cxnSp macro="">
      <xdr:nvCxnSpPr>
        <xdr:cNvPr id="62" name="Gewinkelte Verbindung 19">
          <a:extLst>
            <a:ext uri="{FF2B5EF4-FFF2-40B4-BE49-F238E27FC236}">
              <a16:creationId xmlns:a16="http://schemas.microsoft.com/office/drawing/2014/main" id="{79B7BA85-8598-4E15-B4FE-146AAEBE233B}"/>
            </a:ext>
          </a:extLst>
        </xdr:cNvPr>
        <xdr:cNvCxnSpPr>
          <a:cxnSpLocks/>
          <a:stCxn id="61" idx="2"/>
          <a:endCxn id="47" idx="0"/>
        </xdr:cNvCxnSpPr>
      </xdr:nvCxnSpPr>
      <xdr:spPr>
        <a:xfrm rot="16200000" flipH="1">
          <a:off x="7110234" y="6019458"/>
          <a:ext cx="3626901" cy="374996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78442</xdr:colOff>
      <xdr:row>30</xdr:row>
      <xdr:rowOff>48824</xdr:rowOff>
    </xdr:from>
    <xdr:to>
      <xdr:col>41</xdr:col>
      <xdr:colOff>22410</xdr:colOff>
      <xdr:row>37</xdr:row>
      <xdr:rowOff>50923</xdr:rowOff>
    </xdr:to>
    <xdr:cxnSp macro="">
      <xdr:nvCxnSpPr>
        <xdr:cNvPr id="75" name="Gewinkelte Verbindung 19">
          <a:extLst>
            <a:ext uri="{FF2B5EF4-FFF2-40B4-BE49-F238E27FC236}">
              <a16:creationId xmlns:a16="http://schemas.microsoft.com/office/drawing/2014/main" id="{A4FC4259-2A2E-489B-86CB-DFFE529A0B32}"/>
            </a:ext>
          </a:extLst>
        </xdr:cNvPr>
        <xdr:cNvCxnSpPr>
          <a:cxnSpLocks/>
          <a:stCxn id="34" idx="3"/>
          <a:endCxn id="47" idx="1"/>
        </xdr:cNvCxnSpPr>
      </xdr:nvCxnSpPr>
      <xdr:spPr>
        <a:xfrm>
          <a:off x="4146978" y="6974860"/>
          <a:ext cx="3128039" cy="133559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108857</xdr:colOff>
      <xdr:row>18</xdr:row>
      <xdr:rowOff>95250</xdr:rowOff>
    </xdr:from>
    <xdr:to>
      <xdr:col>16</xdr:col>
      <xdr:colOff>138792</xdr:colOff>
      <xdr:row>23</xdr:row>
      <xdr:rowOff>57150</xdr:rowOff>
    </xdr:to>
    <xdr:pic>
      <xdr:nvPicPr>
        <xdr:cNvPr id="65" name="Graphic 64" descr="Security camera outline">
          <a:extLst>
            <a:ext uri="{FF2B5EF4-FFF2-40B4-BE49-F238E27FC236}">
              <a16:creationId xmlns:a16="http://schemas.microsoft.com/office/drawing/2014/main" id="{3C628188-A19D-4862-8852-507B69FF8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54678" y="4735286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138792</xdr:colOff>
      <xdr:row>15</xdr:row>
      <xdr:rowOff>34919</xdr:rowOff>
    </xdr:from>
    <xdr:to>
      <xdr:col>39</xdr:col>
      <xdr:colOff>2401</xdr:colOff>
      <xdr:row>20</xdr:row>
      <xdr:rowOff>171450</xdr:rowOff>
    </xdr:to>
    <xdr:cxnSp macro="">
      <xdr:nvCxnSpPr>
        <xdr:cNvPr id="82" name="Gewinkelte Verbindung 19">
          <a:extLst>
            <a:ext uri="{FF2B5EF4-FFF2-40B4-BE49-F238E27FC236}">
              <a16:creationId xmlns:a16="http://schemas.microsoft.com/office/drawing/2014/main" id="{192D11B8-48DC-4C3B-8CFE-2A2E2EBA786F}"/>
            </a:ext>
          </a:extLst>
        </xdr:cNvPr>
        <xdr:cNvCxnSpPr>
          <a:cxnSpLocks/>
          <a:stCxn id="65" idx="3"/>
          <a:endCxn id="61" idx="1"/>
        </xdr:cNvCxnSpPr>
      </xdr:nvCxnSpPr>
      <xdr:spPr>
        <a:xfrm flipV="1">
          <a:off x="2969078" y="4103455"/>
          <a:ext cx="3932144" cy="108903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9607</xdr:colOff>
      <xdr:row>46</xdr:row>
      <xdr:rowOff>85945</xdr:rowOff>
    </xdr:from>
    <xdr:to>
      <xdr:col>77</xdr:col>
      <xdr:colOff>122465</xdr:colOff>
      <xdr:row>56</xdr:row>
      <xdr:rowOff>136070</xdr:rowOff>
    </xdr:to>
    <xdr:cxnSp macro="">
      <xdr:nvCxnSpPr>
        <xdr:cNvPr id="92" name="Gewinkelte Verbindung 19">
          <a:extLst>
            <a:ext uri="{FF2B5EF4-FFF2-40B4-BE49-F238E27FC236}">
              <a16:creationId xmlns:a16="http://schemas.microsoft.com/office/drawing/2014/main" id="{58EE69DD-9AF4-4DBA-B4BE-FFF4B890D668}"/>
            </a:ext>
          </a:extLst>
        </xdr:cNvPr>
        <xdr:cNvCxnSpPr>
          <a:cxnSpLocks/>
          <a:stCxn id="94" idx="3"/>
          <a:endCxn id="97" idx="1"/>
        </xdr:cNvCxnSpPr>
      </xdr:nvCxnSpPr>
      <xdr:spPr>
        <a:xfrm>
          <a:off x="10976964" y="10059981"/>
          <a:ext cx="2766251" cy="195512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54429</xdr:colOff>
      <xdr:row>44</xdr:row>
      <xdr:rowOff>176893</xdr:rowOff>
    </xdr:from>
    <xdr:to>
      <xdr:col>62</xdr:col>
      <xdr:colOff>9607</xdr:colOff>
      <xdr:row>47</xdr:row>
      <xdr:rowOff>185496</xdr:rowOff>
    </xdr:to>
    <xdr:sp macro="" textlink="">
      <xdr:nvSpPr>
        <xdr:cNvPr id="94" name="Rechteck 60">
          <a:extLst>
            <a:ext uri="{FF2B5EF4-FFF2-40B4-BE49-F238E27FC236}">
              <a16:creationId xmlns:a16="http://schemas.microsoft.com/office/drawing/2014/main" id="{CCFE4711-9E68-4301-A78D-AE77EB771135}"/>
            </a:ext>
          </a:extLst>
        </xdr:cNvPr>
        <xdr:cNvSpPr/>
      </xdr:nvSpPr>
      <xdr:spPr>
        <a:xfrm>
          <a:off x="7307036" y="9769929"/>
          <a:ext cx="3669928" cy="580103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122465</xdr:colOff>
      <xdr:row>54</xdr:row>
      <xdr:rowOff>159282</xdr:rowOff>
    </xdr:from>
    <xdr:to>
      <xdr:col>95</xdr:col>
      <xdr:colOff>179295</xdr:colOff>
      <xdr:row>58</xdr:row>
      <xdr:rowOff>112857</xdr:rowOff>
    </xdr:to>
    <xdr:sp macro="" textlink="">
      <xdr:nvSpPr>
        <xdr:cNvPr id="97" name="Rechteck 60">
          <a:extLst>
            <a:ext uri="{FF2B5EF4-FFF2-40B4-BE49-F238E27FC236}">
              <a16:creationId xmlns:a16="http://schemas.microsoft.com/office/drawing/2014/main" id="{6A0F423E-3FC6-4521-B21F-9B0FF9B796FD}"/>
            </a:ext>
          </a:extLst>
        </xdr:cNvPr>
        <xdr:cNvSpPr/>
      </xdr:nvSpPr>
      <xdr:spPr>
        <a:xfrm>
          <a:off x="13743215" y="11657318"/>
          <a:ext cx="356747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85</xdr:col>
      <xdr:colOff>81645</xdr:colOff>
      <xdr:row>48</xdr:row>
      <xdr:rowOff>91245</xdr:rowOff>
    </xdr:from>
    <xdr:to>
      <xdr:col>102</xdr:col>
      <xdr:colOff>179296</xdr:colOff>
      <xdr:row>52</xdr:row>
      <xdr:rowOff>44820</xdr:rowOff>
    </xdr:to>
    <xdr:sp macro="" textlink="">
      <xdr:nvSpPr>
        <xdr:cNvPr id="101" name="Rechteck 60">
          <a:extLst>
            <a:ext uri="{FF2B5EF4-FFF2-40B4-BE49-F238E27FC236}">
              <a16:creationId xmlns:a16="http://schemas.microsoft.com/office/drawing/2014/main" id="{B0571926-F0F3-41F2-A0E1-712B31D09066}"/>
            </a:ext>
          </a:extLst>
        </xdr:cNvPr>
        <xdr:cNvSpPr/>
      </xdr:nvSpPr>
      <xdr:spPr>
        <a:xfrm>
          <a:off x="15171966" y="10446281"/>
          <a:ext cx="3567473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grey_img_right.png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85</xdr:col>
      <xdr:colOff>54431</xdr:colOff>
      <xdr:row>44</xdr:row>
      <xdr:rowOff>77638</xdr:rowOff>
    </xdr:from>
    <xdr:to>
      <xdr:col>102</xdr:col>
      <xdr:colOff>152082</xdr:colOff>
      <xdr:row>48</xdr:row>
      <xdr:rowOff>31213</xdr:rowOff>
    </xdr:to>
    <xdr:sp macro="" textlink="">
      <xdr:nvSpPr>
        <xdr:cNvPr id="104" name="Rechteck 60">
          <a:extLst>
            <a:ext uri="{FF2B5EF4-FFF2-40B4-BE49-F238E27FC236}">
              <a16:creationId xmlns:a16="http://schemas.microsoft.com/office/drawing/2014/main" id="{F9D0B24C-E780-46B2-9FED-5897AF18AAA9}"/>
            </a:ext>
          </a:extLst>
        </xdr:cNvPr>
        <xdr:cNvSpPr/>
      </xdr:nvSpPr>
      <xdr:spPr>
        <a:xfrm>
          <a:off x="15144752" y="9670674"/>
          <a:ext cx="3567473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grey_img_left.png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62</xdr:col>
      <xdr:colOff>9607</xdr:colOff>
      <xdr:row>46</xdr:row>
      <xdr:rowOff>54426</xdr:rowOff>
    </xdr:from>
    <xdr:to>
      <xdr:col>85</xdr:col>
      <xdr:colOff>54431</xdr:colOff>
      <xdr:row>46</xdr:row>
      <xdr:rowOff>85945</xdr:rowOff>
    </xdr:to>
    <xdr:cxnSp macro="">
      <xdr:nvCxnSpPr>
        <xdr:cNvPr id="105" name="Gewinkelte Verbindung 19">
          <a:extLst>
            <a:ext uri="{FF2B5EF4-FFF2-40B4-BE49-F238E27FC236}">
              <a16:creationId xmlns:a16="http://schemas.microsoft.com/office/drawing/2014/main" id="{D22B08AF-038A-4BC9-914C-539D42A97678}"/>
            </a:ext>
          </a:extLst>
        </xdr:cNvPr>
        <xdr:cNvCxnSpPr>
          <a:cxnSpLocks/>
          <a:stCxn id="94" idx="3"/>
          <a:endCxn id="104" idx="1"/>
        </xdr:cNvCxnSpPr>
      </xdr:nvCxnSpPr>
      <xdr:spPr>
        <a:xfrm flipV="1">
          <a:off x="10976964" y="10028462"/>
          <a:ext cx="4167788" cy="3151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9607</xdr:colOff>
      <xdr:row>46</xdr:row>
      <xdr:rowOff>85945</xdr:rowOff>
    </xdr:from>
    <xdr:to>
      <xdr:col>85</xdr:col>
      <xdr:colOff>81645</xdr:colOff>
      <xdr:row>50</xdr:row>
      <xdr:rowOff>68033</xdr:rowOff>
    </xdr:to>
    <xdr:cxnSp macro="">
      <xdr:nvCxnSpPr>
        <xdr:cNvPr id="108" name="Gewinkelte Verbindung 19">
          <a:extLst>
            <a:ext uri="{FF2B5EF4-FFF2-40B4-BE49-F238E27FC236}">
              <a16:creationId xmlns:a16="http://schemas.microsoft.com/office/drawing/2014/main" id="{A1B746CA-AABB-4A3C-ADBB-6C761F6B568E}"/>
            </a:ext>
          </a:extLst>
        </xdr:cNvPr>
        <xdr:cNvCxnSpPr>
          <a:cxnSpLocks/>
          <a:stCxn id="94" idx="3"/>
          <a:endCxn id="101" idx="1"/>
        </xdr:cNvCxnSpPr>
      </xdr:nvCxnSpPr>
      <xdr:spPr>
        <a:xfrm>
          <a:off x="10976964" y="10059981"/>
          <a:ext cx="4195002" cy="74408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54429</xdr:colOff>
      <xdr:row>62</xdr:row>
      <xdr:rowOff>23211</xdr:rowOff>
    </xdr:from>
    <xdr:to>
      <xdr:col>26</xdr:col>
      <xdr:colOff>84045</xdr:colOff>
      <xdr:row>65</xdr:row>
      <xdr:rowOff>167286</xdr:rowOff>
    </xdr:to>
    <xdr:sp macro="" textlink="">
      <xdr:nvSpPr>
        <xdr:cNvPr id="112" name="Rechteck 60">
          <a:extLst>
            <a:ext uri="{FF2B5EF4-FFF2-40B4-BE49-F238E27FC236}">
              <a16:creationId xmlns:a16="http://schemas.microsoft.com/office/drawing/2014/main" id="{B080C630-FC83-42CD-A776-EAA404D2091E}"/>
            </a:ext>
          </a:extLst>
        </xdr:cNvPr>
        <xdr:cNvSpPr/>
      </xdr:nvSpPr>
      <xdr:spPr>
        <a:xfrm>
          <a:off x="1115786" y="13045247"/>
          <a:ext cx="356747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69237</xdr:colOff>
      <xdr:row>58</xdr:row>
      <xdr:rowOff>112858</xdr:rowOff>
    </xdr:from>
    <xdr:to>
      <xdr:col>87</xdr:col>
      <xdr:colOff>28416</xdr:colOff>
      <xdr:row>62</xdr:row>
      <xdr:rowOff>23212</xdr:rowOff>
    </xdr:to>
    <xdr:cxnSp macro="">
      <xdr:nvCxnSpPr>
        <xdr:cNvPr id="114" name="Gewinkelte Verbindung 19">
          <a:extLst>
            <a:ext uri="{FF2B5EF4-FFF2-40B4-BE49-F238E27FC236}">
              <a16:creationId xmlns:a16="http://schemas.microsoft.com/office/drawing/2014/main" id="{3DFD9782-26A5-43BD-A5CD-13114300F1B9}"/>
            </a:ext>
          </a:extLst>
        </xdr:cNvPr>
        <xdr:cNvCxnSpPr>
          <a:cxnSpLocks/>
          <a:stCxn id="97" idx="2"/>
          <a:endCxn id="112" idx="0"/>
        </xdr:cNvCxnSpPr>
      </xdr:nvCxnSpPr>
      <xdr:spPr>
        <a:xfrm rot="5400000">
          <a:off x="8877061" y="6395356"/>
          <a:ext cx="672354" cy="1262742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81644</xdr:colOff>
      <xdr:row>69</xdr:row>
      <xdr:rowOff>54428</xdr:rowOff>
    </xdr:from>
    <xdr:to>
      <xdr:col>60</xdr:col>
      <xdr:colOff>36822</xdr:colOff>
      <xdr:row>73</xdr:row>
      <xdr:rowOff>131067</xdr:rowOff>
    </xdr:to>
    <xdr:sp macro="" textlink="">
      <xdr:nvSpPr>
        <xdr:cNvPr id="122" name="Rechteck 60">
          <a:extLst>
            <a:ext uri="{FF2B5EF4-FFF2-40B4-BE49-F238E27FC236}">
              <a16:creationId xmlns:a16="http://schemas.microsoft.com/office/drawing/2014/main" id="{8072E409-1E09-404D-8905-18B213E5539D}"/>
            </a:ext>
          </a:extLst>
        </xdr:cNvPr>
        <xdr:cNvSpPr/>
      </xdr:nvSpPr>
      <xdr:spPr>
        <a:xfrm>
          <a:off x="6980465" y="14409964"/>
          <a:ext cx="366992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84045</xdr:colOff>
      <xdr:row>64</xdr:row>
      <xdr:rowOff>-1</xdr:rowOff>
    </xdr:from>
    <xdr:to>
      <xdr:col>39</xdr:col>
      <xdr:colOff>81644</xdr:colOff>
      <xdr:row>71</xdr:row>
      <xdr:rowOff>92748</xdr:rowOff>
    </xdr:to>
    <xdr:cxnSp macro="">
      <xdr:nvCxnSpPr>
        <xdr:cNvPr id="123" name="Gewinkelte Verbindung 19">
          <a:extLst>
            <a:ext uri="{FF2B5EF4-FFF2-40B4-BE49-F238E27FC236}">
              <a16:creationId xmlns:a16="http://schemas.microsoft.com/office/drawing/2014/main" id="{2DE9BC49-A16D-4AFF-A3FE-ECB94359EB83}"/>
            </a:ext>
          </a:extLst>
        </xdr:cNvPr>
        <xdr:cNvCxnSpPr>
          <a:cxnSpLocks/>
          <a:stCxn id="112" idx="3"/>
          <a:endCxn id="122" idx="1"/>
        </xdr:cNvCxnSpPr>
      </xdr:nvCxnSpPr>
      <xdr:spPr>
        <a:xfrm>
          <a:off x="4683259" y="13403035"/>
          <a:ext cx="2297206" cy="142624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97648</xdr:colOff>
      <xdr:row>72</xdr:row>
      <xdr:rowOff>159282</xdr:rowOff>
    </xdr:from>
    <xdr:to>
      <xdr:col>96</xdr:col>
      <xdr:colOff>7203</xdr:colOff>
      <xdr:row>76</xdr:row>
      <xdr:rowOff>112857</xdr:rowOff>
    </xdr:to>
    <xdr:sp macro="" textlink="">
      <xdr:nvSpPr>
        <xdr:cNvPr id="129" name="Rechteck 60">
          <a:extLst>
            <a:ext uri="{FF2B5EF4-FFF2-40B4-BE49-F238E27FC236}">
              <a16:creationId xmlns:a16="http://schemas.microsoft.com/office/drawing/2014/main" id="{187B69F6-F299-47FF-A5FE-AF5FCA06F64D}"/>
            </a:ext>
          </a:extLst>
        </xdr:cNvPr>
        <xdr:cNvSpPr/>
      </xdr:nvSpPr>
      <xdr:spPr>
        <a:xfrm>
          <a:off x="14249077" y="15086318"/>
          <a:ext cx="3093626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60</xdr:col>
      <xdr:colOff>36822</xdr:colOff>
      <xdr:row>71</xdr:row>
      <xdr:rowOff>92748</xdr:rowOff>
    </xdr:from>
    <xdr:to>
      <xdr:col>80</xdr:col>
      <xdr:colOff>97648</xdr:colOff>
      <xdr:row>74</xdr:row>
      <xdr:rowOff>136070</xdr:rowOff>
    </xdr:to>
    <xdr:cxnSp macro="">
      <xdr:nvCxnSpPr>
        <xdr:cNvPr id="130" name="Gewinkelte Verbindung 19">
          <a:extLst>
            <a:ext uri="{FF2B5EF4-FFF2-40B4-BE49-F238E27FC236}">
              <a16:creationId xmlns:a16="http://schemas.microsoft.com/office/drawing/2014/main" id="{7457221F-0BB4-452F-B6BD-783F23F5908E}"/>
            </a:ext>
          </a:extLst>
        </xdr:cNvPr>
        <xdr:cNvCxnSpPr>
          <a:cxnSpLocks/>
          <a:stCxn id="122" idx="3"/>
          <a:endCxn id="129" idx="1"/>
        </xdr:cNvCxnSpPr>
      </xdr:nvCxnSpPr>
      <xdr:spPr>
        <a:xfrm>
          <a:off x="10650393" y="14829284"/>
          <a:ext cx="3598684" cy="614822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153403</xdr:colOff>
      <xdr:row>1</xdr:row>
      <xdr:rowOff>67219</xdr:rowOff>
    </xdr:from>
    <xdr:to>
      <xdr:col>93</xdr:col>
      <xdr:colOff>23553</xdr:colOff>
      <xdr:row>1</xdr:row>
      <xdr:rowOff>280579</xdr:rowOff>
    </xdr:to>
    <xdr:sp macro="[0]!OpenPython_on_Full_Path" textlink="">
      <xdr:nvSpPr>
        <xdr:cNvPr id="133" name="Rechteck 54">
          <a:extLst>
            <a:ext uri="{FF2B5EF4-FFF2-40B4-BE49-F238E27FC236}">
              <a16:creationId xmlns:a16="http://schemas.microsoft.com/office/drawing/2014/main" id="{6EA78C38-989F-46F6-A30B-BA73757C7756}"/>
            </a:ext>
          </a:extLst>
        </xdr:cNvPr>
        <xdr:cNvSpPr/>
      </xdr:nvSpPr>
      <xdr:spPr>
        <a:xfrm>
          <a:off x="14835510" y="434612"/>
          <a:ext cx="1911222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52</xdr:col>
      <xdr:colOff>15207</xdr:colOff>
      <xdr:row>19</xdr:row>
      <xdr:rowOff>16808</xdr:rowOff>
    </xdr:from>
    <xdr:to>
      <xdr:col>65</xdr:col>
      <xdr:colOff>46427</xdr:colOff>
      <xdr:row>21</xdr:row>
      <xdr:rowOff>161686</xdr:rowOff>
    </xdr:to>
    <xdr:sp macro="" textlink="">
      <xdr:nvSpPr>
        <xdr:cNvPr id="46" name="Rechteck 60">
          <a:extLst>
            <a:ext uri="{FF2B5EF4-FFF2-40B4-BE49-F238E27FC236}">
              <a16:creationId xmlns:a16="http://schemas.microsoft.com/office/drawing/2014/main" id="{B71A406B-2D6D-4967-8D1C-525796BC7ACF}"/>
            </a:ext>
          </a:extLst>
        </xdr:cNvPr>
        <xdr:cNvSpPr/>
      </xdr:nvSpPr>
      <xdr:spPr>
        <a:xfrm>
          <a:off x="9213636" y="4847344"/>
          <a:ext cx="2330827" cy="525878"/>
        </a:xfrm>
        <a:prstGeom prst="rect">
          <a:avLst/>
        </a:prstGeom>
        <a:solidFill>
          <a:srgbClr val="FFE89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40000"/>
            <a:lumOff val="60000"/>
          </a:schemeClr>
        </a:solidFill>
        <a:ln>
          <a:solidFill>
            <a:srgbClr val="00B050"/>
          </a:solidFill>
        </a:ln>
      </a:spPr>
      <a:bodyPr vertOverflow="clip" wrap="square" rtlCol="0" anchor="ctr">
        <a:noAutofit/>
      </a:bodyPr>
      <a:lstStyle>
        <a:defPPr marL="0" marR="0" indent="0" algn="ctr" defTabSz="914400" rtl="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0" i="0">
            <a:solidFill>
              <a:schemeClr val="tx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C000"/>
  </sheetPr>
  <dimension ref="A1:I34"/>
  <sheetViews>
    <sheetView zoomScaleNormal="100" workbookViewId="0">
      <selection activeCell="D15" sqref="D15"/>
    </sheetView>
  </sheetViews>
  <sheetFormatPr defaultColWidth="11.42578125" defaultRowHeight="15" x14ac:dyDescent="0.25"/>
  <cols>
    <col min="1" max="1" width="10.85546875" style="13" customWidth="1"/>
    <col min="2" max="2" width="51.28515625" customWidth="1"/>
    <col min="3" max="3" width="33.7109375" bestFit="1" customWidth="1"/>
    <col min="4" max="5" width="14.28515625" customWidth="1"/>
    <col min="6" max="7" width="4.28515625" style="3" customWidth="1"/>
    <col min="8" max="8" width="75.85546875" customWidth="1"/>
    <col min="9" max="9" width="15.85546875" style="4" customWidth="1"/>
  </cols>
  <sheetData>
    <row r="1" spans="1:9" s="14" customFormat="1" ht="5.25" customHeight="1" x14ac:dyDescent="0.25">
      <c r="A1" s="35"/>
      <c r="B1" s="35"/>
      <c r="C1" s="35"/>
      <c r="D1" s="35"/>
      <c r="E1" s="35"/>
      <c r="F1" s="35"/>
      <c r="G1" s="35"/>
      <c r="I1" s="17"/>
    </row>
    <row r="2" spans="1:9" s="14" customFormat="1" x14ac:dyDescent="0.25">
      <c r="A2" s="35"/>
      <c r="B2" s="36" t="s">
        <v>20</v>
      </c>
      <c r="C2" s="42" t="s">
        <v>21</v>
      </c>
      <c r="D2" s="42"/>
      <c r="E2" s="42"/>
      <c r="F2" s="42"/>
      <c r="G2" s="35"/>
      <c r="I2" s="17"/>
    </row>
    <row r="3" spans="1:9" s="14" customFormat="1" x14ac:dyDescent="0.25">
      <c r="A3" s="35"/>
      <c r="B3" s="36" t="s">
        <v>22</v>
      </c>
      <c r="C3" s="42" t="s">
        <v>38</v>
      </c>
      <c r="D3" s="42"/>
      <c r="E3" s="42"/>
      <c r="F3" s="42"/>
      <c r="G3" s="35"/>
      <c r="I3" s="17"/>
    </row>
    <row r="4" spans="1:9" s="14" customFormat="1" ht="3.75" customHeight="1" x14ac:dyDescent="0.25">
      <c r="A4" s="35"/>
      <c r="B4" s="35"/>
      <c r="C4" s="35"/>
      <c r="D4" s="35"/>
      <c r="E4" s="35"/>
      <c r="F4" s="35"/>
      <c r="G4" s="35"/>
      <c r="I4" s="17"/>
    </row>
    <row r="5" spans="1:9" ht="53.25" customHeight="1" x14ac:dyDescent="0.35">
      <c r="A5" s="7"/>
      <c r="B5" s="6" t="s">
        <v>0</v>
      </c>
      <c r="C5" s="5"/>
      <c r="D5" s="5"/>
      <c r="E5" s="5"/>
      <c r="F5" s="7"/>
      <c r="G5" s="7"/>
      <c r="H5" s="5"/>
      <c r="I5" s="8"/>
    </row>
    <row r="6" spans="1:9" ht="16.5" customHeight="1" x14ac:dyDescent="0.25">
      <c r="A6">
        <v>1</v>
      </c>
      <c r="B6" t="s">
        <v>9</v>
      </c>
      <c r="C6" s="12" t="s">
        <v>10</v>
      </c>
      <c r="H6" s="14"/>
    </row>
    <row r="7" spans="1:9" ht="16.5" customHeight="1" x14ac:dyDescent="0.25">
      <c r="A7">
        <v>2</v>
      </c>
      <c r="B7" t="s">
        <v>11</v>
      </c>
      <c r="C7" s="12" t="s">
        <v>12</v>
      </c>
      <c r="F7" s="11"/>
      <c r="G7" s="11"/>
      <c r="H7" s="14"/>
    </row>
    <row r="8" spans="1:9" ht="16.5" customHeight="1" x14ac:dyDescent="0.25">
      <c r="A8">
        <v>3</v>
      </c>
      <c r="B8" t="s">
        <v>3</v>
      </c>
      <c r="C8" s="12" t="s">
        <v>4</v>
      </c>
      <c r="F8" s="11"/>
      <c r="G8" s="11"/>
      <c r="H8" s="14"/>
    </row>
    <row r="9" spans="1:9" ht="16.5" customHeight="1" x14ac:dyDescent="0.25">
      <c r="A9">
        <v>4</v>
      </c>
      <c r="B9" t="s">
        <v>16</v>
      </c>
      <c r="C9" s="12" t="s">
        <v>17</v>
      </c>
      <c r="F9" s="11"/>
      <c r="G9" s="11"/>
      <c r="H9" s="14"/>
    </row>
    <row r="10" spans="1:9" ht="16.5" customHeight="1" x14ac:dyDescent="0.25">
      <c r="A10">
        <v>5</v>
      </c>
      <c r="B10" t="s">
        <v>18</v>
      </c>
      <c r="C10" s="12" t="s">
        <v>19</v>
      </c>
      <c r="F10" s="11"/>
      <c r="G10" s="11"/>
      <c r="H10" s="14"/>
    </row>
    <row r="11" spans="1:9" ht="16.5" customHeight="1" x14ac:dyDescent="0.25">
      <c r="A11">
        <v>6</v>
      </c>
      <c r="B11" t="s">
        <v>13</v>
      </c>
      <c r="C11" s="12" t="s">
        <v>14</v>
      </c>
      <c r="F11" s="11"/>
      <c r="G11" s="11"/>
      <c r="H11" s="14"/>
    </row>
    <row r="12" spans="1:9" ht="16.5" customHeight="1" x14ac:dyDescent="0.25">
      <c r="A12"/>
      <c r="C12" s="12"/>
      <c r="F12" s="11"/>
      <c r="G12" s="11"/>
      <c r="H12" s="14"/>
    </row>
    <row r="13" spans="1:9" ht="16.5" customHeight="1" x14ac:dyDescent="0.25">
      <c r="A13"/>
      <c r="C13" s="12"/>
      <c r="F13" s="11"/>
      <c r="G13" s="11"/>
      <c r="H13" s="14"/>
    </row>
    <row r="14" spans="1:9" ht="16.5" customHeight="1" x14ac:dyDescent="0.25">
      <c r="A14"/>
      <c r="C14" s="12"/>
      <c r="F14" s="11"/>
      <c r="G14" s="11"/>
      <c r="H14" s="14"/>
    </row>
    <row r="15" spans="1:9" ht="16.5" customHeight="1" x14ac:dyDescent="0.25">
      <c r="A15"/>
      <c r="C15" s="12"/>
      <c r="F15" s="11"/>
      <c r="G15" s="11"/>
      <c r="H15" s="14"/>
    </row>
    <row r="16" spans="1:9" ht="16.5" customHeight="1" x14ac:dyDescent="0.25">
      <c r="A16"/>
      <c r="C16" s="12"/>
      <c r="F16" s="11"/>
      <c r="G16" s="11"/>
      <c r="H16" s="14"/>
    </row>
    <row r="17" spans="1:8" ht="16.5" customHeight="1" x14ac:dyDescent="0.25">
      <c r="A17"/>
      <c r="G17" s="11"/>
      <c r="H17" s="14"/>
    </row>
    <row r="18" spans="1:8" ht="16.5" customHeight="1" x14ac:dyDescent="0.25">
      <c r="A18"/>
      <c r="G18" s="11"/>
      <c r="H18" s="14"/>
    </row>
    <row r="19" spans="1:8" ht="16.5" customHeight="1" x14ac:dyDescent="0.25">
      <c r="A19"/>
      <c r="C19" s="12"/>
      <c r="F19" s="11"/>
      <c r="G19" s="11"/>
      <c r="H19" s="14"/>
    </row>
    <row r="20" spans="1:8" ht="16.5" customHeight="1" x14ac:dyDescent="0.25">
      <c r="A20"/>
      <c r="C20" s="12"/>
      <c r="F20" s="11"/>
      <c r="G20" s="11"/>
      <c r="H20" s="14"/>
    </row>
    <row r="21" spans="1:8" ht="16.5" customHeight="1" x14ac:dyDescent="0.25">
      <c r="A21"/>
      <c r="C21" s="12"/>
      <c r="F21" s="11"/>
      <c r="G21" s="11"/>
      <c r="H21" s="14"/>
    </row>
    <row r="22" spans="1:8" ht="16.5" customHeight="1" x14ac:dyDescent="0.25">
      <c r="A22"/>
      <c r="C22" s="12"/>
      <c r="F22" s="11"/>
      <c r="G22" s="11"/>
      <c r="H22" s="14"/>
    </row>
    <row r="23" spans="1:8" ht="16.5" customHeight="1" x14ac:dyDescent="0.25">
      <c r="A23"/>
      <c r="C23" s="12"/>
      <c r="F23" s="11"/>
      <c r="G23" s="11"/>
      <c r="H23" s="14"/>
    </row>
    <row r="24" spans="1:8" ht="16.5" customHeight="1" x14ac:dyDescent="0.25">
      <c r="A24"/>
      <c r="C24" s="12"/>
      <c r="F24" s="11"/>
      <c r="G24" s="11"/>
      <c r="H24" s="14"/>
    </row>
    <row r="25" spans="1:8" ht="16.5" customHeight="1" x14ac:dyDescent="0.25">
      <c r="C25" s="12"/>
      <c r="F25" s="11"/>
      <c r="G25" s="11"/>
      <c r="H25" s="14"/>
    </row>
    <row r="26" spans="1:8" ht="16.5" customHeight="1" x14ac:dyDescent="0.25">
      <c r="C26" s="12"/>
      <c r="F26" s="11"/>
      <c r="G26" s="11"/>
      <c r="H26" s="14"/>
    </row>
    <row r="27" spans="1:8" ht="16.5" customHeight="1" x14ac:dyDescent="0.25">
      <c r="C27" s="12"/>
      <c r="F27" s="11"/>
      <c r="G27" s="11"/>
      <c r="H27" s="14"/>
    </row>
    <row r="28" spans="1:8" ht="16.5" customHeight="1" x14ac:dyDescent="0.25">
      <c r="C28" s="12"/>
      <c r="F28" s="11"/>
      <c r="G28" s="11"/>
      <c r="H28" s="14"/>
    </row>
    <row r="29" spans="1:8" ht="16.5" customHeight="1" x14ac:dyDescent="0.25">
      <c r="C29" s="12"/>
      <c r="F29" s="11"/>
      <c r="G29" s="11"/>
      <c r="H29" s="14"/>
    </row>
    <row r="30" spans="1:8" x14ac:dyDescent="0.25">
      <c r="C30" s="12"/>
      <c r="F30" s="11"/>
      <c r="G30" s="11"/>
    </row>
    <row r="31" spans="1:8" x14ac:dyDescent="0.25">
      <c r="C31" s="12"/>
      <c r="F31" s="11"/>
      <c r="G31" s="11"/>
    </row>
    <row r="32" spans="1:8" x14ac:dyDescent="0.25">
      <c r="C32" s="12"/>
      <c r="F32" s="11"/>
      <c r="G32" s="11"/>
    </row>
    <row r="33" spans="6:7" x14ac:dyDescent="0.25">
      <c r="F33" s="11"/>
      <c r="G33" s="11"/>
    </row>
    <row r="34" spans="6:7" x14ac:dyDescent="0.25">
      <c r="F34" s="11"/>
      <c r="G34" s="11"/>
    </row>
  </sheetData>
  <mergeCells count="2">
    <mergeCell ref="C2:F2"/>
    <mergeCell ref="C3:F3"/>
  </mergeCells>
  <conditionalFormatting sqref="B19:B1048576 B2:B3 B5:B16">
    <cfRule type="containsText" dxfId="1" priority="1" operator="containsText" text="CODE">
      <formula>NOT(ISERROR(SEARCH("CODE",B2)))</formula>
    </cfRule>
    <cfRule type="containsText" dxfId="0" priority="2" operator="containsText" text="DATA">
      <formula>NOT(ISERROR(SEARCH("DATA",B2)))</formula>
    </cfRule>
  </conditionalFormatting>
  <hyperlinks>
    <hyperlink ref="C6" location="ADMIN_index!A1" display="ADMIN_index!A1" xr:uid="{EDF1DD9C-B762-4EBC-86DB-34529455E1AA}"/>
    <hyperlink ref="C7" location="DATA_drives!A1" display="DATA_drives!A1" xr:uid="{6C6327D8-7038-4BDB-9249-869B6F7EBF2E}"/>
    <hyperlink ref="C8" location="003_ConvertWebBOMcheck!A1" display="003_ConvertWebBOMcheck!A1" xr:uid="{EB0AFA34-243D-4135-A0E9-CA02148D8F07}"/>
    <hyperlink ref="C9" location="CODE2021_epl_Data_By_Mass!A1" display="CODE2021_epl_Data_By_Mass!A1" xr:uid="{7B2DE161-FFB1-4D40-BDFA-9B362D42F9D4}"/>
    <hyperlink ref="C10" location="CODE2021_epl_Data_By_Mass_D!A1" display="CODE2021_epl_Data_By_Mass_D!A1" xr:uid="{13EB3AA7-451F-4FCA-9583-DC697893D849}"/>
    <hyperlink ref="C11" location="CODE90_LSMW!A1" display="CODE90_LSMW!A1" xr:uid="{FB97EBB1-B936-4A71-BDD4-628AF07AF9DC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B541-8BC0-485F-B181-DB5BEFA926CD}">
  <sheetPr codeName="Tabelle20">
    <tabColor rgb="FF00FF00"/>
  </sheetPr>
  <dimension ref="A1:BQ77"/>
  <sheetViews>
    <sheetView workbookViewId="0"/>
  </sheetViews>
  <sheetFormatPr defaultColWidth="0" defaultRowHeight="15" customHeight="1" zeroHeight="1" x14ac:dyDescent="0.25"/>
  <cols>
    <col min="1" max="69" width="2.7109375" customWidth="1"/>
    <col min="70" max="16384" width="11.5703125" hidden="1"/>
  </cols>
  <sheetData>
    <row r="1" spans="1:69" ht="47.45" customHeight="1" x14ac:dyDescent="0.25">
      <c r="A1" s="1"/>
      <c r="B1" s="2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x14ac:dyDescent="0.25"/>
    <row r="3" spans="1:69" x14ac:dyDescent="0.25"/>
    <row r="4" spans="1:69" x14ac:dyDescent="0.25"/>
    <row r="5" spans="1:69" x14ac:dyDescent="0.25"/>
    <row r="6" spans="1:69" x14ac:dyDescent="0.25"/>
    <row r="7" spans="1:69" x14ac:dyDescent="0.25"/>
    <row r="8" spans="1:69" s="9" customFormat="1" x14ac:dyDescent="0.25">
      <c r="A8" s="9" t="s">
        <v>2</v>
      </c>
    </row>
    <row r="9" spans="1:69" s="9" customFormat="1" x14ac:dyDescent="0.25"/>
    <row r="10" spans="1:69" s="9" customFormat="1" x14ac:dyDescent="0.25"/>
    <row r="11" spans="1:69" x14ac:dyDescent="0.25"/>
    <row r="12" spans="1:69" x14ac:dyDescent="0.25">
      <c r="T12" s="10" t="s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</row>
    <row r="13" spans="1:69" x14ac:dyDescent="0.25"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</row>
    <row r="14" spans="1:69" x14ac:dyDescent="0.25"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</row>
    <row r="15" spans="1:69" x14ac:dyDescent="0.25"/>
    <row r="16" spans="1:69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D084-EA3D-4119-A4EE-A459CFEDE797}">
  <sheetPr codeName="Tabelle34">
    <tabColor rgb="FFFFC000"/>
  </sheetPr>
  <dimension ref="A1:DO108"/>
  <sheetViews>
    <sheetView tabSelected="1" zoomScale="70" zoomScaleNormal="70" workbookViewId="0">
      <pane ySplit="3" topLeftCell="A4" activePane="bottomLeft" state="frozen"/>
      <selection pane="bottomLeft" activeCell="BR15" sqref="BR15"/>
    </sheetView>
  </sheetViews>
  <sheetFormatPr defaultColWidth="11.5703125" defaultRowHeight="0" customHeight="1" zeroHeight="1" outlineLevelRow="1" x14ac:dyDescent="0.25"/>
  <cols>
    <col min="1" max="83" width="2.7109375" style="14" customWidth="1"/>
    <col min="84" max="119" width="3.140625" style="14" customWidth="1"/>
    <col min="120" max="16384" width="11.5703125" style="14"/>
  </cols>
  <sheetData>
    <row r="1" spans="1:119" ht="29.25" customHeight="1" x14ac:dyDescent="0.4">
      <c r="A1" s="27"/>
      <c r="B1" s="28" t="s">
        <v>15</v>
      </c>
      <c r="C1" s="28"/>
      <c r="D1" s="28"/>
      <c r="E1" s="28"/>
      <c r="F1" s="28"/>
      <c r="G1" s="28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</row>
    <row r="2" spans="1:119" ht="47.45" customHeight="1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</row>
    <row r="3" spans="1:119" ht="22.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</row>
    <row r="4" spans="1:119" ht="24" customHeight="1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3" t="s">
        <v>24</v>
      </c>
      <c r="AK4" s="30" t="s">
        <v>23</v>
      </c>
      <c r="AL4" s="44" t="str" cm="1">
        <f t="array" ref="AL4">+ GET_SHEET_INDEX("")</f>
        <v>Tabelle34</v>
      </c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</row>
    <row r="5" spans="1:119" ht="24" customHeight="1" outlineLevel="1" x14ac:dyDescent="0.3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4" t="s">
        <v>32</v>
      </c>
      <c r="AK5" s="29" t="s">
        <v>23</v>
      </c>
      <c r="AL5" s="43" t="s">
        <v>33</v>
      </c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40" t="s">
        <v>34</v>
      </c>
      <c r="CG5" s="32"/>
      <c r="CH5" s="32"/>
      <c r="CI5" s="32"/>
      <c r="CJ5" s="32"/>
      <c r="CK5" s="32"/>
      <c r="CL5" s="32"/>
      <c r="CM5" s="38" t="str">
        <f>+CF5&amp;"_"&amp;$AL$4</f>
        <v>rngEXPORT_URL_Tabelle34</v>
      </c>
      <c r="CN5" s="32"/>
      <c r="CO5" s="32"/>
      <c r="CP5" s="32"/>
      <c r="CQ5" s="32"/>
      <c r="CR5" s="32"/>
      <c r="CS5" s="32"/>
      <c r="CT5" s="32"/>
      <c r="CU5" s="32"/>
      <c r="CV5" s="32"/>
      <c r="CW5" s="32"/>
      <c r="CX5" s="39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15"/>
    </row>
    <row r="6" spans="1:119" ht="24" customHeight="1" outlineLevel="1" x14ac:dyDescent="0.35">
      <c r="A6" s="32" t="s">
        <v>28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4" t="s">
        <v>30</v>
      </c>
      <c r="AK6" s="29" t="s">
        <v>23</v>
      </c>
      <c r="AL6" s="43" t="s">
        <v>31</v>
      </c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40" t="s">
        <v>35</v>
      </c>
      <c r="CG6" s="32"/>
      <c r="CH6" s="32"/>
      <c r="CI6" s="32"/>
      <c r="CJ6" s="32"/>
      <c r="CK6" s="32"/>
      <c r="CL6" s="32"/>
      <c r="CM6" s="38" t="str">
        <f t="shared" ref="CM6:CM9" si="0">+CF6&amp;"_"&amp;$AL$4</f>
        <v>rngEXPORT_DRIVE_Tabelle34</v>
      </c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9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15"/>
    </row>
    <row r="7" spans="1:119" ht="23.25" outlineLevel="1" x14ac:dyDescent="0.35">
      <c r="A7" s="32" t="s">
        <v>28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4" t="s">
        <v>26</v>
      </c>
      <c r="AK7" s="29" t="s">
        <v>23</v>
      </c>
      <c r="AL7" s="43" t="s">
        <v>39</v>
      </c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40" t="s">
        <v>36</v>
      </c>
      <c r="CG7" s="32"/>
      <c r="CH7" s="32"/>
      <c r="CI7" s="32"/>
      <c r="CJ7" s="32"/>
      <c r="CK7" s="32"/>
      <c r="CL7" s="32"/>
      <c r="CM7" s="38" t="str">
        <f t="shared" si="0"/>
        <v>rngEXPORT_ROOT_Tabelle34</v>
      </c>
      <c r="CN7" s="32"/>
      <c r="CO7" s="32"/>
      <c r="CP7" s="32"/>
      <c r="CQ7" s="32"/>
      <c r="CR7" s="32"/>
      <c r="CS7" s="32"/>
      <c r="CT7" s="32"/>
      <c r="CU7" s="32"/>
      <c r="CV7" s="32"/>
      <c r="CW7" s="32"/>
      <c r="CX7" s="39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</row>
    <row r="8" spans="1:119" ht="23.25" outlineLevel="1" x14ac:dyDescent="0.3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4" t="s">
        <v>41</v>
      </c>
      <c r="AK8" s="29"/>
      <c r="AL8" s="43" t="s">
        <v>40</v>
      </c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40" t="str">
        <f>+"rngEXPORT_USER"</f>
        <v>rngEXPORT_USER</v>
      </c>
      <c r="CG8" s="32"/>
      <c r="CH8" s="32"/>
      <c r="CI8" s="32"/>
      <c r="CJ8" s="32"/>
      <c r="CK8" s="32"/>
      <c r="CL8" s="32"/>
      <c r="CM8" s="38" t="str">
        <f>+"rngEXPORT_USER_"&amp;AL4</f>
        <v>rngEXPORT_USER_Tabelle34</v>
      </c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9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</row>
    <row r="9" spans="1:119" ht="23.25" outlineLevel="1" x14ac:dyDescent="0.35">
      <c r="A9" s="32" t="s">
        <v>29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4" t="s">
        <v>27</v>
      </c>
      <c r="AK9" s="29" t="s">
        <v>23</v>
      </c>
      <c r="AL9" s="43" t="s">
        <v>25</v>
      </c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40" t="s">
        <v>37</v>
      </c>
      <c r="CG9" s="32"/>
      <c r="CH9" s="32"/>
      <c r="CI9" s="32"/>
      <c r="CJ9" s="32"/>
      <c r="CK9" s="32"/>
      <c r="CL9" s="32"/>
      <c r="CM9" s="38" t="str">
        <f t="shared" si="0"/>
        <v>rngEXPORT_NAME_Tabelle34</v>
      </c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9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</row>
    <row r="10" spans="1:1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</row>
    <row r="11" spans="1:119" ht="28.5" x14ac:dyDescent="0.45">
      <c r="A11" s="21" t="s">
        <v>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21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L11" s="19" t="s">
        <v>7</v>
      </c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2" t="s">
        <v>8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4" t="s">
        <v>6</v>
      </c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</row>
    <row r="12" spans="1:119" ht="15" x14ac:dyDescent="0.25"/>
    <row r="13" spans="1:119" ht="15" x14ac:dyDescent="0.25"/>
    <row r="14" spans="1:119" ht="15" x14ac:dyDescent="0.25"/>
    <row r="15" spans="1:119" ht="15" x14ac:dyDescent="0.25"/>
    <row r="16" spans="1:119" ht="15" x14ac:dyDescent="0.25"/>
    <row r="17" ht="15" x14ac:dyDescent="0.25"/>
    <row r="18" ht="15" x14ac:dyDescent="0.25"/>
    <row r="19" ht="15" x14ac:dyDescent="0.25"/>
    <row r="20" ht="15" x14ac:dyDescent="0.25"/>
    <row r="21" ht="15" x14ac:dyDescent="0.25"/>
    <row r="22" ht="15" x14ac:dyDescent="0.25"/>
    <row r="23" ht="15" x14ac:dyDescent="0.25"/>
    <row r="24" ht="15" x14ac:dyDescent="0.25"/>
    <row r="25" ht="15" x14ac:dyDescent="0.25"/>
    <row r="26" ht="15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spans="41:41" ht="15" x14ac:dyDescent="0.25"/>
    <row r="82" spans="41:41" ht="15" x14ac:dyDescent="0.25"/>
    <row r="83" spans="41:41" ht="15" x14ac:dyDescent="0.25"/>
    <row r="84" spans="41:41" ht="15" x14ac:dyDescent="0.25"/>
    <row r="85" spans="41:41" ht="15" x14ac:dyDescent="0.25"/>
    <row r="86" spans="41:41" ht="15" x14ac:dyDescent="0.25">
      <c r="AO86" s="18"/>
    </row>
    <row r="87" spans="41:41" ht="15" x14ac:dyDescent="0.25"/>
    <row r="88" spans="41:41" ht="15" x14ac:dyDescent="0.25"/>
    <row r="89" spans="41:41" ht="15" x14ac:dyDescent="0.25"/>
    <row r="90" spans="41:41" ht="15" x14ac:dyDescent="0.25"/>
    <row r="91" spans="41:41" ht="15" x14ac:dyDescent="0.25"/>
    <row r="92" spans="41:41" ht="15" x14ac:dyDescent="0.25"/>
    <row r="93" spans="41:41" ht="15" x14ac:dyDescent="0.25"/>
    <row r="94" spans="41:41" ht="15" x14ac:dyDescent="0.25"/>
    <row r="95" spans="41:41" ht="15" x14ac:dyDescent="0.25"/>
    <row r="96" spans="41:41" ht="15" x14ac:dyDescent="0.25"/>
    <row r="97" ht="15" x14ac:dyDescent="0.25"/>
    <row r="98" ht="15" x14ac:dyDescent="0.25"/>
    <row r="99" ht="15" x14ac:dyDescent="0.25"/>
    <row r="100" ht="15" x14ac:dyDescent="0.25"/>
    <row r="101" ht="15" x14ac:dyDescent="0.25"/>
    <row r="102" ht="15" x14ac:dyDescent="0.25"/>
    <row r="103" ht="15" x14ac:dyDescent="0.25"/>
    <row r="104" ht="15" x14ac:dyDescent="0.25"/>
    <row r="105" ht="15" x14ac:dyDescent="0.25"/>
    <row r="106" ht="15" x14ac:dyDescent="0.25"/>
    <row r="107" ht="15" x14ac:dyDescent="0.25"/>
    <row r="108" ht="18" customHeight="1" x14ac:dyDescent="0.25"/>
  </sheetData>
  <mergeCells count="1">
    <mergeCell ref="AL4:CE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ADMIN_index</vt:lpstr>
      <vt:lpstr>003_ConvertWebBOMcheck</vt:lpstr>
      <vt:lpstr>CAM_XYZ</vt:lpstr>
      <vt:lpstr>RNG_GLOBAL_NOTEPAD_PP</vt:lpstr>
      <vt:lpstr>RNG_GLOBAL_SQLITE</vt:lpstr>
      <vt:lpstr>rngEXPORT_DRIVE_Tabelle34</vt:lpstr>
      <vt:lpstr>rngEXPORT_NAME_Tabelle34</vt:lpstr>
      <vt:lpstr>rngEXPORT_ROOT_Tabelle34</vt:lpstr>
      <vt:lpstr>rngEXPORT_URL_Tabelle34</vt:lpstr>
      <vt:lpstr>rngEXPORT_USER_Tabelle34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2022-07-14T15:59:15Z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b4be4aae-7c5f-48b0-9cb5-9e4245075ef0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2021-04-12T07:10:18Z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fc01b934-f5b8-4fb4-ad13-d57b8f9bde0b</vt:lpwstr>
  </property>
  <property fmtid="{D5CDD505-2E9C-101B-9397-08002B2CF9AE}" pid="9" name="MSIP_Label_fe7c75fe-f914-45f8-9747-40a3f5d4287a_ContentBits">
    <vt:lpwstr>0</vt:lpwstr>
  </property>
</Properties>
</file>